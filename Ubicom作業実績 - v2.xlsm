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jeremy.reccion\Documents\Zenkoku Maintenance System\deliverables-draft\"/>
    </mc:Choice>
  </mc:AlternateContent>
  <bookViews>
    <workbookView xWindow="0" yWindow="0" windowWidth="20490" windowHeight="7755" activeTab="4"/>
  </bookViews>
  <sheets>
    <sheet name="Sheet1" sheetId="8" r:id="rId1"/>
    <sheet name="byweek" sheetId="5" r:id="rId2"/>
    <sheet name="chart" sheetId="3" r:id="rId3"/>
    <sheet name="bydate" sheetId="4" r:id="rId4"/>
    <sheet name="data" sheetId="2" r:id="rId5"/>
    <sheet name="anken-list" sheetId="6" r:id="rId6"/>
    <sheet name="data(new)" sheetId="7" r:id="rId7"/>
  </sheets>
  <definedNames>
    <definedName name="_xlnm._FilterDatabase" localSheetId="4" hidden="1">data!$A$1:$C$359</definedName>
  </definedNames>
  <calcPr calcId="152511"/>
  <pivotCaches>
    <pivotCache cacheId="21" r:id="rId8"/>
  </pivotCaches>
</workbook>
</file>

<file path=xl/calcChain.xml><?xml version="1.0" encoding="utf-8"?>
<calcChain xmlns="http://schemas.openxmlformats.org/spreadsheetml/2006/main">
  <c r="B41" i="2" l="1"/>
  <c r="B121" i="2" s="1"/>
  <c r="B207" i="2" s="1"/>
  <c r="B40" i="2"/>
  <c r="B120" i="2" s="1"/>
  <c r="B206" i="2" s="1"/>
  <c r="B290" i="2" l="1"/>
  <c r="B42" i="2" s="1"/>
  <c r="B291" i="2"/>
  <c r="B43" i="2" s="1"/>
  <c r="D197" i="2"/>
  <c r="B122" i="2" l="1"/>
  <c r="B123" i="2"/>
  <c r="D31" i="2"/>
  <c r="B209" i="2" l="1"/>
  <c r="B208" i="2"/>
  <c r="D109" i="2"/>
  <c r="D107" i="2"/>
  <c r="B293" i="2" l="1"/>
  <c r="B292" i="2"/>
  <c r="D195" i="2"/>
  <c r="D193" i="2"/>
  <c r="B45" i="2" l="1"/>
  <c r="B44" i="2"/>
  <c r="D29" i="2"/>
  <c r="D27" i="2"/>
  <c r="B125" i="2" l="1"/>
  <c r="B124" i="2"/>
  <c r="D277" i="2"/>
  <c r="B211" i="2" l="1"/>
  <c r="B210" i="2"/>
  <c r="D103" i="2"/>
  <c r="D101" i="2"/>
  <c r="B295" i="2" l="1"/>
  <c r="B294" i="2"/>
  <c r="D189" i="2"/>
  <c r="D187" i="2"/>
  <c r="B47" i="2" l="1"/>
  <c r="B46" i="2"/>
  <c r="D23" i="2"/>
  <c r="D21" i="2"/>
  <c r="D273" i="2"/>
  <c r="D271" i="2"/>
  <c r="B127" i="2" l="1"/>
  <c r="B126" i="2"/>
  <c r="E2" i="7"/>
  <c r="E3" i="7"/>
  <c r="B213" i="2" l="1"/>
  <c r="B212" i="2"/>
  <c r="D5" i="5"/>
  <c r="D6" i="5"/>
  <c r="D99" i="2"/>
  <c r="D97" i="2"/>
  <c r="B297" i="2" l="1"/>
  <c r="B296" i="2"/>
  <c r="D183" i="2"/>
  <c r="D181" i="2"/>
  <c r="B49" i="2" l="1"/>
  <c r="B48" i="2"/>
  <c r="B129" i="2" l="1"/>
  <c r="B128" i="2"/>
  <c r="B215" i="2" l="1"/>
  <c r="B214" i="2"/>
  <c r="B299" i="2" l="1"/>
  <c r="B298" i="2"/>
  <c r="B51" i="2" l="1"/>
  <c r="B50" i="2"/>
  <c r="B131" i="2" l="1"/>
  <c r="B130" i="2"/>
  <c r="B217" i="2" l="1"/>
  <c r="B216" i="2"/>
  <c r="B301" i="2" l="1"/>
  <c r="B300" i="2"/>
  <c r="B53" i="2" l="1"/>
  <c r="B52" i="2"/>
  <c r="B133" i="2" l="1"/>
  <c r="B132" i="2"/>
  <c r="B219" i="2" l="1"/>
  <c r="B218" i="2"/>
  <c r="B303" i="2" l="1"/>
  <c r="B302" i="2"/>
  <c r="B55" i="2" l="1"/>
  <c r="B54" i="2"/>
  <c r="B135" i="2" l="1"/>
  <c r="B134" i="2"/>
  <c r="B221" i="2" l="1"/>
  <c r="B220" i="2"/>
  <c r="B305" i="2" l="1"/>
  <c r="B304" i="2"/>
  <c r="B57" i="2" l="1"/>
  <c r="B56" i="2"/>
  <c r="B137" i="2" l="1"/>
  <c r="B136" i="2"/>
  <c r="B223" i="2" l="1"/>
  <c r="B222" i="2"/>
  <c r="B306" i="2" l="1"/>
  <c r="B307" i="2"/>
  <c r="B58" i="2" l="1"/>
  <c r="B59" i="2"/>
  <c r="B138" i="2" l="1"/>
  <c r="B139" i="2"/>
  <c r="B225" i="2" l="1"/>
  <c r="B224" i="2"/>
  <c r="B309" i="2" l="1"/>
  <c r="B308" i="2"/>
  <c r="B60" i="2" l="1"/>
  <c r="B61" i="2"/>
  <c r="B141" i="2" l="1"/>
  <c r="B140" i="2"/>
  <c r="B227" i="2" l="1"/>
  <c r="B226" i="2"/>
  <c r="B310" i="2" l="1"/>
  <c r="B311" i="2"/>
  <c r="B63" i="2" l="1"/>
  <c r="B62" i="2"/>
  <c r="B142" i="2" l="1"/>
  <c r="B143" i="2"/>
  <c r="B228" i="2" l="1"/>
  <c r="B229" i="2"/>
  <c r="B313" i="2" l="1"/>
  <c r="B312" i="2"/>
  <c r="B65" i="2" l="1"/>
  <c r="B64" i="2"/>
  <c r="B144" i="2" l="1"/>
  <c r="B145" i="2"/>
  <c r="B231" i="2" l="1"/>
  <c r="B230" i="2"/>
  <c r="B314" i="2" l="1"/>
  <c r="B315" i="2"/>
  <c r="B67" i="2" l="1"/>
  <c r="B66" i="2"/>
  <c r="B146" i="2" l="1"/>
  <c r="B147" i="2"/>
  <c r="B233" i="2" l="1"/>
  <c r="B232" i="2"/>
  <c r="B316" i="2" l="1"/>
  <c r="B317" i="2"/>
  <c r="B69" i="2" l="1"/>
  <c r="B68" i="2"/>
  <c r="B148" i="2" l="1"/>
  <c r="B149" i="2"/>
  <c r="B235" i="2" l="1"/>
  <c r="B234" i="2"/>
  <c r="B318" i="2" l="1"/>
  <c r="B319" i="2"/>
  <c r="B71" i="2" l="1"/>
  <c r="B70" i="2"/>
  <c r="B150" i="2" l="1"/>
  <c r="B151" i="2"/>
  <c r="B237" i="2" l="1"/>
  <c r="B236" i="2"/>
  <c r="B321" i="2" l="1"/>
  <c r="B320" i="2"/>
  <c r="B72" i="2" l="1"/>
  <c r="B73" i="2"/>
  <c r="B153" i="2" l="1"/>
  <c r="B152" i="2"/>
  <c r="B239" i="2" l="1"/>
  <c r="B238" i="2"/>
  <c r="B322" i="2" l="1"/>
  <c r="B323" i="2"/>
  <c r="B75" i="2" l="1"/>
  <c r="B74" i="2"/>
  <c r="B154" i="2" l="1"/>
  <c r="B155" i="2"/>
  <c r="B241" i="2" l="1"/>
  <c r="B240" i="2"/>
  <c r="B324" i="2" l="1"/>
  <c r="B325" i="2"/>
  <c r="B77" i="2" l="1"/>
  <c r="B76" i="2"/>
  <c r="B156" i="2" l="1"/>
  <c r="B157" i="2"/>
  <c r="B243" i="2" l="1"/>
  <c r="B242" i="2"/>
  <c r="B326" i="2" l="1"/>
  <c r="B327" i="2"/>
  <c r="B79" i="2" l="1"/>
  <c r="B159" i="2" s="1"/>
  <c r="B245" i="2" s="1"/>
  <c r="B329" i="2" s="1"/>
  <c r="B78" i="2"/>
  <c r="B158" i="2" s="1"/>
  <c r="B244" i="2" s="1"/>
  <c r="B328" i="2" s="1"/>
</calcChain>
</file>

<file path=xl/sharedStrings.xml><?xml version="1.0" encoding="utf-8"?>
<sst xmlns="http://schemas.openxmlformats.org/spreadsheetml/2006/main" count="1115" uniqueCount="78">
  <si>
    <t>Yeena</t>
  </si>
  <si>
    <t>Yeena</t>
    <phoneticPr fontId="2"/>
  </si>
  <si>
    <t>Anken</t>
  </si>
  <si>
    <t>Anken</t>
    <phoneticPr fontId="2"/>
  </si>
  <si>
    <t>Non-Anken</t>
  </si>
  <si>
    <t>Non-Anken</t>
    <phoneticPr fontId="2"/>
  </si>
  <si>
    <t>Dondon</t>
  </si>
  <si>
    <t>Athan</t>
    <phoneticPr fontId="2"/>
  </si>
  <si>
    <t>John</t>
  </si>
  <si>
    <t>John</t>
    <phoneticPr fontId="2"/>
  </si>
  <si>
    <t>Yeena</t>
    <phoneticPr fontId="2"/>
  </si>
  <si>
    <t>Anken</t>
    <phoneticPr fontId="2"/>
  </si>
  <si>
    <t>Non-Anken</t>
    <phoneticPr fontId="2"/>
  </si>
  <si>
    <t>Athan</t>
    <phoneticPr fontId="2"/>
  </si>
  <si>
    <t>Dondon</t>
    <phoneticPr fontId="2"/>
  </si>
  <si>
    <t>Name</t>
    <phoneticPr fontId="2"/>
  </si>
  <si>
    <t>Date</t>
    <phoneticPr fontId="2"/>
  </si>
  <si>
    <t>Category</t>
    <phoneticPr fontId="2"/>
  </si>
  <si>
    <t>Hrs</t>
    <phoneticPr fontId="2"/>
  </si>
  <si>
    <t>合計 / Hrs</t>
  </si>
  <si>
    <t>Date</t>
  </si>
  <si>
    <t>Start</t>
    <phoneticPr fontId="2"/>
  </si>
  <si>
    <t>End</t>
    <phoneticPr fontId="2"/>
  </si>
  <si>
    <t>Anken</t>
    <phoneticPr fontId="2"/>
  </si>
  <si>
    <t>2018-0084</t>
    <phoneticPr fontId="2"/>
  </si>
  <si>
    <t>2018-0081</t>
    <phoneticPr fontId="2"/>
  </si>
  <si>
    <t>Name</t>
    <phoneticPr fontId="2"/>
  </si>
  <si>
    <t>Anken Cd</t>
    <phoneticPr fontId="2"/>
  </si>
  <si>
    <t>Hours</t>
    <phoneticPr fontId="2"/>
  </si>
  <si>
    <t>2018-0204</t>
    <phoneticPr fontId="2"/>
  </si>
  <si>
    <t>2018-0204a</t>
    <phoneticPr fontId="2"/>
  </si>
  <si>
    <t>Row Labels</t>
  </si>
  <si>
    <t>Grand Total</t>
  </si>
  <si>
    <t>(blank)</t>
  </si>
  <si>
    <t>(All)</t>
  </si>
  <si>
    <t>Column Labels</t>
  </si>
  <si>
    <t>Dondon</t>
    <phoneticPr fontId="2"/>
  </si>
  <si>
    <t>Anken</t>
    <phoneticPr fontId="2"/>
  </si>
  <si>
    <t>Non-Anken</t>
    <phoneticPr fontId="2"/>
  </si>
  <si>
    <t>Yeena</t>
    <phoneticPr fontId="2"/>
  </si>
  <si>
    <t>Anken</t>
    <phoneticPr fontId="2"/>
  </si>
  <si>
    <t>Yeena</t>
    <phoneticPr fontId="2"/>
  </si>
  <si>
    <t>Non-Anken</t>
    <phoneticPr fontId="2"/>
  </si>
  <si>
    <t>John</t>
    <phoneticPr fontId="2"/>
  </si>
  <si>
    <t>Anken</t>
    <phoneticPr fontId="2"/>
  </si>
  <si>
    <t>John</t>
    <phoneticPr fontId="2"/>
  </si>
  <si>
    <t>Non-Anken</t>
    <phoneticPr fontId="2"/>
  </si>
  <si>
    <t>Athan</t>
  </si>
  <si>
    <t>(Multiple Items)</t>
  </si>
  <si>
    <t>Athan</t>
    <phoneticPr fontId="2"/>
  </si>
  <si>
    <t>Notes:</t>
    <phoneticPr fontId="2"/>
  </si>
  <si>
    <t>Name</t>
  </si>
  <si>
    <t>Category</t>
  </si>
  <si>
    <t>Hrs</t>
  </si>
  <si>
    <t>Dondon</t>
    <phoneticPr fontId="2"/>
  </si>
  <si>
    <t>Anken</t>
    <phoneticPr fontId="2"/>
  </si>
  <si>
    <t>Dondon</t>
    <phoneticPr fontId="2"/>
  </si>
  <si>
    <t>Non-Anken</t>
    <phoneticPr fontId="2"/>
  </si>
  <si>
    <t>John</t>
    <phoneticPr fontId="2"/>
  </si>
  <si>
    <t>Anken</t>
    <phoneticPr fontId="2"/>
  </si>
  <si>
    <t>John</t>
    <phoneticPr fontId="2"/>
  </si>
  <si>
    <t>Non-Anken</t>
    <phoneticPr fontId="2"/>
  </si>
  <si>
    <t>Anken</t>
    <phoneticPr fontId="2"/>
  </si>
  <si>
    <t>Athan</t>
    <phoneticPr fontId="2"/>
  </si>
  <si>
    <t>Non-Anken</t>
    <phoneticPr fontId="2"/>
  </si>
  <si>
    <t>John</t>
    <phoneticPr fontId="2"/>
  </si>
  <si>
    <t>Anken</t>
    <phoneticPr fontId="2"/>
  </si>
  <si>
    <t>John</t>
    <phoneticPr fontId="2"/>
  </si>
  <si>
    <t>Non-Anken</t>
    <phoneticPr fontId="2"/>
  </si>
  <si>
    <t>C:\Users\jeremy.reccion\Documents\Zenkoku Maintenance System\deliverables-draft\DTR files</t>
  </si>
  <si>
    <t>Directory:</t>
    <phoneticPr fontId="2"/>
  </si>
  <si>
    <t>extracts data from last Friday to current Thursday</t>
    <phoneticPr fontId="2"/>
  </si>
  <si>
    <t>hardcoded translation of katakana names to english names (4 people)</t>
    <phoneticPr fontId="2"/>
  </si>
  <si>
    <t>only checks anken and non anken hours (no overtimes, etc)</t>
    <phoneticPr fontId="2"/>
  </si>
  <si>
    <t>code has static values for columns and rows of external file. Modify accordingly.</t>
    <phoneticPr fontId="2"/>
  </si>
  <si>
    <t>throws error if name is not included in the four</t>
    <phoneticPr fontId="2"/>
  </si>
  <si>
    <t>code assumes that anken and non-anken data of a member are adjacent</t>
    <phoneticPr fontId="2"/>
  </si>
  <si>
    <t>now extracts all .xlsm files inside the specified folder (do not include "\" at the end)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</si>
</sst>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\(aaa\)"/>
  </numFmts>
  <fonts count="4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9" fontId="0" fillId="0" borderId="0" xfId="1" applyFont="1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left" vertical="center"/>
    </xf>
    <xf numFmtId="176" fontId="0" fillId="0" borderId="0" xfId="0" pivotButton="1" applyNumberFormat="1">
      <alignment vertical="center"/>
    </xf>
    <xf numFmtId="0" fontId="0" fillId="0" borderId="0" xfId="0" applyAlignment="1">
      <alignment vertical="center" wrapText="1"/>
    </xf>
    <xf numFmtId="56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indent="1"/>
    </xf>
  </cellXfs>
  <cellStyles count="2">
    <cellStyle name="Normal" xfId="0" builtinId="0"/>
    <cellStyle name="Percent" xfId="1" builtinId="5"/>
  </cellStyles>
  <dxfs count="4">
    <dxf>
      <numFmt numFmtId="176" formatCode="m&quot;月&quot;d&quot;日&quot;\(aaa\)"/>
    </dxf>
    <dxf>
      <numFmt numFmtId="176" formatCode="m&quot;月&quot;d&quot;日&quot;\(aaa\)"/>
    </dxf>
    <dxf>
      <numFmt numFmtId="176" formatCode="m&quot;月&quot;d&quot;日&quot;\(aaa\)"/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byweek!$C$1</c:f>
              <c:strCache>
                <c:ptCount val="1"/>
                <c:pt idx="0">
                  <c:v>Anken</c:v>
                </c:pt>
              </c:strCache>
            </c:strRef>
          </c:tx>
          <c:cat>
            <c:numRef>
              <c:f>byweek!$B$2:$B$6</c:f>
              <c:numCache>
                <c:formatCode>m/d/yyyy</c:formatCode>
                <c:ptCount val="5"/>
                <c:pt idx="0">
                  <c:v>43503</c:v>
                </c:pt>
                <c:pt idx="1">
                  <c:v>43510</c:v>
                </c:pt>
                <c:pt idx="2">
                  <c:v>43517</c:v>
                </c:pt>
                <c:pt idx="3">
                  <c:v>43524</c:v>
                </c:pt>
                <c:pt idx="4">
                  <c:v>43531</c:v>
                </c:pt>
              </c:numCache>
            </c:numRef>
          </c:cat>
          <c:val>
            <c:numRef>
              <c:f>byweek!$C$2:$C$6</c:f>
              <c:numCache>
                <c:formatCode>0%</c:formatCode>
                <c:ptCount val="5"/>
                <c:pt idx="3">
                  <c:v>0.6</c:v>
                </c:pt>
                <c:pt idx="4">
                  <c:v>0.57999999999999996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D8A-45D2-A2DF-8E3BE8690926}"/>
            </c:ext>
          </c:extLst>
        </c:ser>
        <c:ser>
          <c:idx val="1"/>
          <c:order val="1"/>
          <c:tx>
            <c:strRef>
              <c:f>byweek!$D$1</c:f>
              <c:strCache>
                <c:ptCount val="1"/>
                <c:pt idx="0">
                  <c:v>Non-Anken</c:v>
                </c:pt>
              </c:strCache>
            </c:strRef>
          </c:tx>
          <c:cat>
            <c:numRef>
              <c:f>byweek!$B$2:$B$6</c:f>
              <c:numCache>
                <c:formatCode>m/d/yyyy</c:formatCode>
                <c:ptCount val="5"/>
                <c:pt idx="0">
                  <c:v>43503</c:v>
                </c:pt>
                <c:pt idx="1">
                  <c:v>43510</c:v>
                </c:pt>
                <c:pt idx="2">
                  <c:v>43517</c:v>
                </c:pt>
                <c:pt idx="3">
                  <c:v>43524</c:v>
                </c:pt>
                <c:pt idx="4">
                  <c:v>43531</c:v>
                </c:pt>
              </c:numCache>
            </c:numRef>
          </c:cat>
          <c:val>
            <c:numRef>
              <c:f>byweek!$D$2:$D$6</c:f>
              <c:numCache>
                <c:formatCode>0%</c:formatCode>
                <c:ptCount val="5"/>
                <c:pt idx="3">
                  <c:v>0.4</c:v>
                </c:pt>
                <c:pt idx="4">
                  <c:v>0.42000000000000004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D8A-45D2-A2DF-8E3BE8690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977744"/>
        <c:axId val="297978136"/>
      </c:lineChart>
      <c:dateAx>
        <c:axId val="297977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297978136"/>
        <c:crosses val="autoZero"/>
        <c:auto val="1"/>
        <c:lblOffset val="100"/>
        <c:baseTimeUnit val="days"/>
        <c:majorUnit val="7"/>
        <c:majorTimeUnit val="days"/>
      </c:dateAx>
      <c:valAx>
        <c:axId val="2979781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29797774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[Ubicom作業実績 - v2.xlsm]chart!PivotTable1</c:name>
    <c:fmtId val="0"/>
  </c:pivotSource>
  <c:chart>
    <c:title>
      <c:tx>
        <c:rich>
          <a:bodyPr/>
          <a:lstStyle/>
          <a:p>
            <a:pPr>
              <a:defRPr lang="ja-JP" sz="1400"/>
            </a:pPr>
            <a:r>
              <a:rPr lang="en-US" altLang="ja-JP" sz="1400"/>
              <a:t>Ubicom</a:t>
            </a:r>
            <a:r>
              <a:rPr lang="ja-JP" altLang="en-US" sz="1400"/>
              <a:t>全体 
</a:t>
            </a:r>
            <a:r>
              <a:rPr lang="en-US" altLang="ja-JP" sz="1400"/>
              <a:t>(2019/05/17 </a:t>
            </a:r>
            <a:r>
              <a:rPr lang="ja-JP" altLang="en-US" sz="1400"/>
              <a:t>～ </a:t>
            </a:r>
            <a:r>
              <a:rPr lang="en-US" altLang="ja-JP" sz="1400"/>
              <a:t>2019/05/23)</a:t>
            </a:r>
          </a:p>
        </c:rich>
      </c:tx>
      <c:layout>
        <c:manualLayout>
          <c:xMode val="edge"/>
          <c:yMode val="edge"/>
          <c:x val="0.25794136726004835"/>
          <c:y val="1.879986796395474E-2"/>
        </c:manualLayout>
      </c:layout>
      <c:overlay val="1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ja-JP"/>
              </a:pPr>
              <a:endParaRPr lang="ja-JP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ja-JP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ja-JP"/>
              </a:pPr>
              <a:endParaRPr lang="ja-JP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ja-JP"/>
              </a:pPr>
              <a:endParaRPr lang="ja-JP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ja-JP"/>
              </a:pPr>
              <a:endParaRPr lang="ja-JP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chart!$B$3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 lang="ja-JP"/>
                </a:pPr>
                <a:endParaRPr lang="ja-JP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chart!$A$4:$A$6</c:f>
              <c:strCache>
                <c:ptCount val="2"/>
                <c:pt idx="0">
                  <c:v>Anken</c:v>
                </c:pt>
                <c:pt idx="1">
                  <c:v>Non-Anken</c:v>
                </c:pt>
              </c:strCache>
            </c:strRef>
          </c:cat>
          <c:val>
            <c:numRef>
              <c:f>chart!$B$4:$B$6</c:f>
              <c:numCache>
                <c:formatCode>General</c:formatCode>
                <c:ptCount val="2"/>
                <c:pt idx="0">
                  <c:v>120.75</c:v>
                </c:pt>
                <c:pt idx="1">
                  <c:v>19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[Ubicom作業実績 - v2.xlsm]bydate!PivotTable3</c:name>
    <c:fmtId val="2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bydate!$B$3:$B$4</c:f>
              <c:strCache>
                <c:ptCount val="1"/>
                <c:pt idx="0">
                  <c:v>Anken</c:v>
                </c:pt>
              </c:strCache>
            </c:strRef>
          </c:tx>
          <c:invertIfNegative val="0"/>
          <c:cat>
            <c:multiLvlStrRef>
              <c:f>bydate!$A$5:$A$30</c:f>
              <c:multiLvlStrCache>
                <c:ptCount val="20"/>
                <c:lvl>
                  <c:pt idx="0">
                    <c:v>Athan</c:v>
                  </c:pt>
                  <c:pt idx="1">
                    <c:v>Dondon</c:v>
                  </c:pt>
                  <c:pt idx="2">
                    <c:v>John</c:v>
                  </c:pt>
                  <c:pt idx="3">
                    <c:v>Yeena</c:v>
                  </c:pt>
                  <c:pt idx="4">
                    <c:v>Athan</c:v>
                  </c:pt>
                  <c:pt idx="5">
                    <c:v>Dondon</c:v>
                  </c:pt>
                  <c:pt idx="6">
                    <c:v>John</c:v>
                  </c:pt>
                  <c:pt idx="7">
                    <c:v>Yeena</c:v>
                  </c:pt>
                  <c:pt idx="8">
                    <c:v>Athan</c:v>
                  </c:pt>
                  <c:pt idx="9">
                    <c:v>Dondon</c:v>
                  </c:pt>
                  <c:pt idx="10">
                    <c:v>John</c:v>
                  </c:pt>
                  <c:pt idx="11">
                    <c:v>Yeena</c:v>
                  </c:pt>
                  <c:pt idx="12">
                    <c:v>Athan</c:v>
                  </c:pt>
                  <c:pt idx="13">
                    <c:v>Dondon</c:v>
                  </c:pt>
                  <c:pt idx="14">
                    <c:v>John</c:v>
                  </c:pt>
                  <c:pt idx="15">
                    <c:v>Yeena</c:v>
                  </c:pt>
                  <c:pt idx="16">
                    <c:v>Athan</c:v>
                  </c:pt>
                  <c:pt idx="17">
                    <c:v>Dondon</c:v>
                  </c:pt>
                  <c:pt idx="18">
                    <c:v>John</c:v>
                  </c:pt>
                  <c:pt idx="19">
                    <c:v>Yeena</c:v>
                  </c:pt>
                </c:lvl>
                <c:lvl>
                  <c:pt idx="0">
                    <c:v>5月17日</c:v>
                  </c:pt>
                  <c:pt idx="4">
                    <c:v>5月20日</c:v>
                  </c:pt>
                  <c:pt idx="8">
                    <c:v>5月21日</c:v>
                  </c:pt>
                  <c:pt idx="12">
                    <c:v>5月22日</c:v>
                  </c:pt>
                  <c:pt idx="16">
                    <c:v>5月23日</c:v>
                  </c:pt>
                </c:lvl>
              </c:multiLvlStrCache>
            </c:multiLvlStrRef>
          </c:cat>
          <c:val>
            <c:numRef>
              <c:f>bydate!$B$5:$B$30</c:f>
              <c:numCache>
                <c:formatCode>General</c:formatCode>
                <c:ptCount val="20"/>
                <c:pt idx="0">
                  <c:v>7</c:v>
                </c:pt>
                <c:pt idx="1">
                  <c:v>5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6</c:v>
                </c:pt>
                <c:pt idx="6">
                  <c:v>3.75</c:v>
                </c:pt>
                <c:pt idx="7">
                  <c:v>2.5</c:v>
                </c:pt>
                <c:pt idx="8">
                  <c:v>6.5</c:v>
                </c:pt>
                <c:pt idx="9">
                  <c:v>6.5</c:v>
                </c:pt>
                <c:pt idx="10">
                  <c:v>6.25</c:v>
                </c:pt>
                <c:pt idx="11">
                  <c:v>7.25</c:v>
                </c:pt>
                <c:pt idx="12">
                  <c:v>7</c:v>
                </c:pt>
                <c:pt idx="13">
                  <c:v>6.5</c:v>
                </c:pt>
                <c:pt idx="14">
                  <c:v>6.5</c:v>
                </c:pt>
                <c:pt idx="15">
                  <c:v>6.25</c:v>
                </c:pt>
                <c:pt idx="16">
                  <c:v>5</c:v>
                </c:pt>
                <c:pt idx="17">
                  <c:v>6.5</c:v>
                </c:pt>
                <c:pt idx="18">
                  <c:v>6</c:v>
                </c:pt>
                <c:pt idx="19">
                  <c:v>5.25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B2A-4B4F-A866-3E43954BA50A}"/>
            </c:ext>
          </c:extLst>
        </c:ser>
        <c:ser>
          <c:idx val="1"/>
          <c:order val="1"/>
          <c:tx>
            <c:strRef>
              <c:f>bydate!$C$3:$C$4</c:f>
              <c:strCache>
                <c:ptCount val="1"/>
                <c:pt idx="0">
                  <c:v>Non-Anken</c:v>
                </c:pt>
              </c:strCache>
            </c:strRef>
          </c:tx>
          <c:invertIfNegative val="0"/>
          <c:cat>
            <c:multiLvlStrRef>
              <c:f>bydate!$A$5:$A$30</c:f>
              <c:multiLvlStrCache>
                <c:ptCount val="20"/>
                <c:lvl>
                  <c:pt idx="0">
                    <c:v>Athan</c:v>
                  </c:pt>
                  <c:pt idx="1">
                    <c:v>Dondon</c:v>
                  </c:pt>
                  <c:pt idx="2">
                    <c:v>John</c:v>
                  </c:pt>
                  <c:pt idx="3">
                    <c:v>Yeena</c:v>
                  </c:pt>
                  <c:pt idx="4">
                    <c:v>Athan</c:v>
                  </c:pt>
                  <c:pt idx="5">
                    <c:v>Dondon</c:v>
                  </c:pt>
                  <c:pt idx="6">
                    <c:v>John</c:v>
                  </c:pt>
                  <c:pt idx="7">
                    <c:v>Yeena</c:v>
                  </c:pt>
                  <c:pt idx="8">
                    <c:v>Athan</c:v>
                  </c:pt>
                  <c:pt idx="9">
                    <c:v>Dondon</c:v>
                  </c:pt>
                  <c:pt idx="10">
                    <c:v>John</c:v>
                  </c:pt>
                  <c:pt idx="11">
                    <c:v>Yeena</c:v>
                  </c:pt>
                  <c:pt idx="12">
                    <c:v>Athan</c:v>
                  </c:pt>
                  <c:pt idx="13">
                    <c:v>Dondon</c:v>
                  </c:pt>
                  <c:pt idx="14">
                    <c:v>John</c:v>
                  </c:pt>
                  <c:pt idx="15">
                    <c:v>Yeena</c:v>
                  </c:pt>
                  <c:pt idx="16">
                    <c:v>Athan</c:v>
                  </c:pt>
                  <c:pt idx="17">
                    <c:v>Dondon</c:v>
                  </c:pt>
                  <c:pt idx="18">
                    <c:v>John</c:v>
                  </c:pt>
                  <c:pt idx="19">
                    <c:v>Yeena</c:v>
                  </c:pt>
                </c:lvl>
                <c:lvl>
                  <c:pt idx="0">
                    <c:v>5月17日</c:v>
                  </c:pt>
                  <c:pt idx="4">
                    <c:v>5月20日</c:v>
                  </c:pt>
                  <c:pt idx="8">
                    <c:v>5月21日</c:v>
                  </c:pt>
                  <c:pt idx="12">
                    <c:v>5月22日</c:v>
                  </c:pt>
                  <c:pt idx="16">
                    <c:v>5月23日</c:v>
                  </c:pt>
                </c:lvl>
              </c:multiLvlStrCache>
            </c:multiLvlStrRef>
          </c:cat>
          <c:val>
            <c:numRef>
              <c:f>bydate!$C$5:$C$30</c:f>
              <c:numCache>
                <c:formatCode>General</c:formatCode>
                <c:ptCount val="20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1.5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1.25</c:v>
                </c:pt>
                <c:pt idx="11">
                  <c:v>0.25</c:v>
                </c:pt>
                <c:pt idx="12">
                  <c:v>0.5</c:v>
                </c:pt>
                <c:pt idx="13">
                  <c:v>1</c:v>
                </c:pt>
                <c:pt idx="14">
                  <c:v>1</c:v>
                </c:pt>
                <c:pt idx="15">
                  <c:v>1.25</c:v>
                </c:pt>
                <c:pt idx="16">
                  <c:v>0.5</c:v>
                </c:pt>
                <c:pt idx="17">
                  <c:v>1</c:v>
                </c:pt>
                <c:pt idx="18">
                  <c:v>1.5</c:v>
                </c:pt>
                <c:pt idx="19">
                  <c:v>2.25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299456"/>
        <c:axId val="216299064"/>
      </c:barChart>
      <c:catAx>
        <c:axId val="216299456"/>
        <c:scaling>
          <c:orientation val="minMax"/>
        </c:scaling>
        <c:delete val="0"/>
        <c:axPos val="b"/>
        <c:numFmt formatCode="#,##0_);\(#,##0\)" sourceLinked="0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216299064"/>
        <c:crosses val="autoZero"/>
        <c:auto val="1"/>
        <c:lblAlgn val="ctr"/>
        <c:lblOffset val="100"/>
        <c:noMultiLvlLbl val="0"/>
      </c:catAx>
      <c:valAx>
        <c:axId val="2162990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21629945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lang="ja-JP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[Ubicom作業実績 - v2.xlsm]chart!PivotTable2</c:name>
    <c:fmtId val="0"/>
  </c:pivotSource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All-Time</a:t>
            </a:r>
            <a:endParaRPr lang="ja-JP" altLang="en-US"/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ja-JP"/>
              </a:pPr>
              <a:endParaRPr lang="ja-JP"/>
            </a:p>
          </c:txPr>
          <c:showLegendKey val="0"/>
          <c:showVal val="1"/>
          <c:showCatName val="1"/>
          <c:showSerName val="0"/>
          <c:showPercent val="1"/>
          <c:showBubbleSize val="0"/>
          <c:separator>
</c:separator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chart!$B$25</c:f>
              <c:strCache>
                <c:ptCount val="1"/>
                <c:pt idx="0">
                  <c:v>Total</c:v>
                </c:pt>
              </c:strCache>
            </c:strRef>
          </c:tx>
          <c:dPt>
            <c:idx val="1"/>
            <c:bubble3D val="0"/>
            <c:explosion val="7"/>
            <c:extLst xmlns:c16r2="http://schemas.microsoft.com/office/drawing/2015/06/chart">
              <c:ext xmlns:c16="http://schemas.microsoft.com/office/drawing/2014/chart" uri="{C3380CC4-5D6E-409C-BE32-E72D297353CC}">
                <c16:uniqueId val="{00000000-C631-439C-988F-11274851EA88}"/>
              </c:ext>
            </c:extLst>
          </c:dPt>
          <c:dLbls>
            <c:spPr/>
            <c:txPr>
              <a:bodyPr/>
              <a:lstStyle/>
              <a:p>
                <a:pPr>
                  <a:defRPr lang="ja-JP"/>
                </a:pPr>
                <a:endParaRPr lang="ja-JP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chart!$A$26:$A$29</c:f>
              <c:strCache>
                <c:ptCount val="3"/>
                <c:pt idx="0">
                  <c:v>Anken</c:v>
                </c:pt>
                <c:pt idx="1">
                  <c:v>Non-Anken</c:v>
                </c:pt>
                <c:pt idx="2">
                  <c:v>(blank)</c:v>
                </c:pt>
              </c:strCache>
            </c:strRef>
          </c:cat>
          <c:val>
            <c:numRef>
              <c:f>chart!$B$26:$B$29</c:f>
              <c:numCache>
                <c:formatCode>General</c:formatCode>
                <c:ptCount val="3"/>
                <c:pt idx="0">
                  <c:v>878.4</c:v>
                </c:pt>
                <c:pt idx="1">
                  <c:v>373.45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631-439C-988F-11274851EA8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[Ubicom作業実績 - v2.xlsm]chart!PivotTable4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Ubicom</a:t>
            </a:r>
            <a:r>
              <a:rPr lang="ja-JP" altLang="en-US" b="1"/>
              <a:t>全体 
</a:t>
            </a:r>
            <a:r>
              <a:rPr lang="en-US" altLang="ja-JP" b="1"/>
              <a:t>(2019/05/20 </a:t>
            </a:r>
            <a:r>
              <a:rPr lang="ja-JP" altLang="en-US" b="1"/>
              <a:t>～ </a:t>
            </a:r>
            <a:r>
              <a:rPr lang="en-US" altLang="ja-JP" b="1"/>
              <a:t>2019/05/23)</a:t>
            </a:r>
            <a:endParaRPr lang="ja-JP" altLang="en-US" b="1"/>
          </a:p>
        </c:rich>
      </c:tx>
      <c:layout>
        <c:manualLayout>
          <c:xMode val="edge"/>
          <c:yMode val="edge"/>
          <c:x val="0.276826334208224"/>
          <c:y val="2.0668048072938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/>
            </c:ext>
          </c:extLst>
        </c:dLbl>
      </c:pivotFmt>
      <c:pivotFmt>
        <c:idx val="1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2518203479971636"/>
          <c:y val="0.20578530007544385"/>
          <c:w val="0.41270383104337832"/>
          <c:h val="0.70105603053843879"/>
        </c:manualLayout>
      </c:layout>
      <c:pieChart>
        <c:varyColors val="1"/>
        <c:ser>
          <c:idx val="0"/>
          <c:order val="0"/>
          <c:tx>
            <c:strRef>
              <c:f>chart!$B$14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chart!$A$15:$A$17</c:f>
              <c:strCache>
                <c:ptCount val="2"/>
                <c:pt idx="0">
                  <c:v>Anken</c:v>
                </c:pt>
                <c:pt idx="1">
                  <c:v>Non-Anken</c:v>
                </c:pt>
              </c:strCache>
            </c:strRef>
          </c:cat>
          <c:val>
            <c:numRef>
              <c:f>chart!$B$15:$B$17</c:f>
              <c:numCache>
                <c:formatCode>General</c:formatCode>
                <c:ptCount val="2"/>
                <c:pt idx="0">
                  <c:v>94.75</c:v>
                </c:pt>
                <c:pt idx="1">
                  <c:v>16.5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347662</xdr:colOff>
      <xdr:row>0</xdr:row>
      <xdr:rowOff>128587</xdr:rowOff>
    </xdr:from>
    <xdr:to>
      <xdr:col>11</xdr:col>
      <xdr:colOff>119062</xdr:colOff>
      <xdr:row>16</xdr:row>
      <xdr:rowOff>128587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163406</xdr:colOff>
      <xdr:row>0</xdr:row>
      <xdr:rowOff>0</xdr:rowOff>
    </xdr:from>
    <xdr:to>
      <xdr:col>8</xdr:col>
      <xdr:colOff>428624</xdr:colOff>
      <xdr:row>16</xdr:row>
      <xdr:rowOff>61352</xdr:rowOff>
    </xdr:to>
    <xdr:graphicFrame macro="">
      <xdr:nvGraphicFramePr>
        <xdr:cNvPr id="2" name="Chart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210669</xdr:colOff>
      <xdr:row>17</xdr:row>
      <xdr:rowOff>28015</xdr:rowOff>
    </xdr:from>
    <xdr:to>
      <xdr:col>11</xdr:col>
      <xdr:colOff>161923</xdr:colOff>
      <xdr:row>33</xdr:row>
      <xdr:rowOff>28015</xdr:rowOff>
    </xdr:to>
    <xdr:graphicFrame macro="">
      <xdr:nvGraphicFramePr>
        <xdr:cNvPr id="3" name="Chart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690062</xdr:colOff>
      <xdr:row>0</xdr:row>
      <xdr:rowOff>0</xdr:rowOff>
    </xdr:from>
    <xdr:to>
      <xdr:col>21</xdr:col>
      <xdr:colOff>446334</xdr:colOff>
      <xdr:row>16</xdr:row>
      <xdr:rowOff>53788</xdr:rowOff>
    </xdr:to>
    <xdr:graphicFrame macro="">
      <xdr:nvGraphicFramePr>
        <xdr:cNvPr id="5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251011</xdr:colOff>
      <xdr:row>22</xdr:row>
      <xdr:rowOff>107577</xdr:rowOff>
    </xdr:from>
    <xdr:to>
      <xdr:col>11</xdr:col>
      <xdr:colOff>170329</xdr:colOff>
      <xdr:row>22</xdr:row>
      <xdr:rowOff>107577</xdr:rowOff>
    </xdr:to>
    <xdr:cxnSp macro="">
      <xdr:nvCxnSpPr>
        <xdr:cNvPr id="6" name="直線コネクタ 5"/>
        <xdr:cNvCxnSpPr/>
      </xdr:nvCxnSpPr>
      <xdr:spPr>
        <a:xfrm>
          <a:off x="2775136" y="3774702"/>
          <a:ext cx="6515381" cy="0"/>
        </a:xfrm>
        <a:prstGeom prst="line">
          <a:avLst/>
        </a:prstGeom>
        <a:ln w="38100"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500062</xdr:colOff>
      <xdr:row>0</xdr:row>
      <xdr:rowOff>0</xdr:rowOff>
    </xdr:from>
    <xdr:to>
      <xdr:col>14</xdr:col>
      <xdr:colOff>631031</xdr:colOff>
      <xdr:row>16</xdr:row>
      <xdr:rowOff>59531</xdr:rowOff>
    </xdr:to>
    <xdr:graphicFrame macro="">
      <xdr:nvGraphicFramePr>
        <xdr:cNvPr id="10" name="Chart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914400</xdr:colOff>
          <xdr:row>6</xdr:row>
          <xdr:rowOff>161925</xdr:rowOff>
        </xdr:from>
        <xdr:to>
          <xdr:col>6</xdr:col>
          <xdr:colOff>1504950</xdr:colOff>
          <xdr:row>8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1819275</xdr:colOff>
          <xdr:row>6</xdr:row>
          <xdr:rowOff>152400</xdr:rowOff>
        </xdr:from>
        <xdr:to>
          <xdr:col>6</xdr:col>
          <xdr:colOff>2409825</xdr:colOff>
          <xdr:row>8</xdr:row>
          <xdr:rowOff>38100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Button3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152400</xdr:rowOff>
        </xdr:from>
        <xdr:to>
          <xdr:col>6</xdr:col>
          <xdr:colOff>638175</xdr:colOff>
          <xdr:row>8</xdr:row>
          <xdr:rowOff>38100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remy Christian Reccion" refreshedDate="43609.368359953703" createdVersion="4" refreshedVersion="5" minRefreshableVersion="3" recordCount="389">
  <cacheSource type="worksheet">
    <worksheetSource ref="A1:D1048576" sheet="data"/>
  </cacheSource>
  <cacheFields count="4">
    <cacheField name="Name" numFmtId="0">
      <sharedItems containsBlank="1" count="6">
        <s v="Athan"/>
        <s v="Dondon"/>
        <s v="John"/>
        <s v="Yeena"/>
        <m/>
        <s v="Jeremy" u="1"/>
      </sharedItems>
    </cacheField>
    <cacheField name="Date" numFmtId="176">
      <sharedItems containsNonDate="0" containsDate="1" containsString="0" containsBlank="1" minDate="2019-02-25T00:00:00" maxDate="2019-05-24T00:00:00" count="55">
        <d v="2019-02-25T00:00:00"/>
        <d v="2019-02-26T00:00:00"/>
        <d v="2019-02-27T00:00:00"/>
        <d v="2019-02-28T00:00:00"/>
        <d v="2019-03-01T00:00:00"/>
        <d v="2019-03-04T00:00:00"/>
        <d v="2019-03-05T00:00:00"/>
        <d v="2019-03-06T00:00:00"/>
        <d v="2019-03-07T00:00:00"/>
        <d v="2019-03-08T00:00:00"/>
        <d v="2019-03-11T00:00:00"/>
        <d v="2019-03-12T00:00:00"/>
        <d v="2019-03-13T00:00:00"/>
        <d v="2019-03-14T00:00:00"/>
        <d v="2019-03-15T00:00:00"/>
        <d v="2019-03-18T00:00:00"/>
        <d v="2019-03-19T00:00:00"/>
        <d v="2019-03-20T00:00:00"/>
        <d v="2019-03-21T00:00:00"/>
        <d v="2019-03-22T00:00:00"/>
        <d v="2019-03-25T00:00:00"/>
        <d v="2019-03-26T00:00:00"/>
        <d v="2019-03-27T00:00:00"/>
        <d v="2019-03-28T00:00:00"/>
        <d v="2019-03-29T00:00:00"/>
        <d v="2019-04-01T00:00:00"/>
        <d v="2019-04-02T00:00:00"/>
        <d v="2019-04-03T00:00:00"/>
        <d v="2019-04-04T00:00:00"/>
        <d v="2019-04-05T00:00:00"/>
        <d v="2019-04-08T00:00:00"/>
        <d v="2019-04-09T00:00:00"/>
        <d v="2019-04-10T00:00:00"/>
        <d v="2019-04-11T00:00:00"/>
        <d v="2019-04-12T00:00:00"/>
        <d v="2019-04-15T00:00:00"/>
        <d v="2019-04-16T00:00:00"/>
        <d v="2019-04-17T00:00:00"/>
        <d v="2019-04-18T00:00:00"/>
        <d v="2019-05-14T00:00:00"/>
        <d v="2019-05-09T00:00:00"/>
        <d v="2019-05-10T00:00:00"/>
        <d v="2019-05-13T00:00:00"/>
        <d v="2019-05-07T00:00:00"/>
        <d v="2019-05-15T00:00:00"/>
        <d v="2019-05-16T00:00:00"/>
        <d v="2019-05-17T00:00:00"/>
        <d v="2019-05-20T00:00:00"/>
        <d v="2019-05-21T00:00:00"/>
        <d v="2019-05-22T00:00:00"/>
        <d v="2019-05-23T00:00:00"/>
        <m/>
        <d v="2019-04-19T00:00:00" u="1"/>
        <d v="2019-04-22T00:00:00" u="1"/>
        <d v="2019-05-06T00:00:00" u="1"/>
      </sharedItems>
    </cacheField>
    <cacheField name="Category" numFmtId="0">
      <sharedItems containsBlank="1" count="3">
        <s v="Anken"/>
        <s v="Non-Anken"/>
        <m/>
      </sharedItems>
    </cacheField>
    <cacheField name="Hrs" numFmtId="0">
      <sharedItems containsString="0" containsBlank="1" containsNumber="1" minValue="0" maxValue="9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9">
  <r>
    <x v="0"/>
    <x v="0"/>
    <x v="0"/>
    <n v="7"/>
  </r>
  <r>
    <x v="0"/>
    <x v="0"/>
    <x v="1"/>
    <n v="0.5"/>
  </r>
  <r>
    <x v="0"/>
    <x v="1"/>
    <x v="0"/>
    <n v="6.7"/>
  </r>
  <r>
    <x v="0"/>
    <x v="1"/>
    <x v="1"/>
    <n v="0.79999999999999982"/>
  </r>
  <r>
    <x v="0"/>
    <x v="2"/>
    <x v="0"/>
    <n v="4"/>
  </r>
  <r>
    <x v="0"/>
    <x v="2"/>
    <x v="1"/>
    <n v="3.5"/>
  </r>
  <r>
    <x v="0"/>
    <x v="3"/>
    <x v="0"/>
    <n v="4"/>
  </r>
  <r>
    <x v="0"/>
    <x v="3"/>
    <x v="1"/>
    <n v="4"/>
  </r>
  <r>
    <x v="0"/>
    <x v="4"/>
    <x v="0"/>
    <n v="1"/>
  </r>
  <r>
    <x v="0"/>
    <x v="4"/>
    <x v="1"/>
    <n v="4.5"/>
  </r>
  <r>
    <x v="0"/>
    <x v="5"/>
    <x v="0"/>
    <n v="6"/>
  </r>
  <r>
    <x v="0"/>
    <x v="5"/>
    <x v="1"/>
    <n v="2"/>
  </r>
  <r>
    <x v="0"/>
    <x v="6"/>
    <x v="0"/>
    <n v="6.8"/>
  </r>
  <r>
    <x v="0"/>
    <x v="6"/>
    <x v="1"/>
    <n v="0.7"/>
  </r>
  <r>
    <x v="0"/>
    <x v="7"/>
    <x v="0"/>
    <n v="2"/>
  </r>
  <r>
    <x v="0"/>
    <x v="7"/>
    <x v="1"/>
    <n v="6"/>
  </r>
  <r>
    <x v="0"/>
    <x v="8"/>
    <x v="0"/>
    <n v="4.8"/>
  </r>
  <r>
    <x v="0"/>
    <x v="8"/>
    <x v="1"/>
    <n v="3.2"/>
  </r>
  <r>
    <x v="0"/>
    <x v="9"/>
    <x v="0"/>
    <n v="4"/>
  </r>
  <r>
    <x v="0"/>
    <x v="9"/>
    <x v="1"/>
    <n v="4.5"/>
  </r>
  <r>
    <x v="0"/>
    <x v="10"/>
    <x v="0"/>
    <n v="5"/>
  </r>
  <r>
    <x v="0"/>
    <x v="10"/>
    <x v="1"/>
    <n v="1"/>
  </r>
  <r>
    <x v="0"/>
    <x v="11"/>
    <x v="0"/>
    <n v="6.5"/>
  </r>
  <r>
    <x v="0"/>
    <x v="11"/>
    <x v="1"/>
    <n v="1"/>
  </r>
  <r>
    <x v="0"/>
    <x v="12"/>
    <x v="0"/>
    <n v="7.5"/>
  </r>
  <r>
    <x v="0"/>
    <x v="12"/>
    <x v="1"/>
    <n v="1.5"/>
  </r>
  <r>
    <x v="0"/>
    <x v="13"/>
    <x v="0"/>
    <n v="7"/>
  </r>
  <r>
    <x v="0"/>
    <x v="13"/>
    <x v="1"/>
    <n v="2"/>
  </r>
  <r>
    <x v="0"/>
    <x v="14"/>
    <x v="0"/>
    <n v="5.5"/>
  </r>
  <r>
    <x v="0"/>
    <x v="14"/>
    <x v="1"/>
    <n v="4.5"/>
  </r>
  <r>
    <x v="0"/>
    <x v="15"/>
    <x v="0"/>
    <n v="6.5"/>
  </r>
  <r>
    <x v="0"/>
    <x v="15"/>
    <x v="1"/>
    <n v="1"/>
  </r>
  <r>
    <x v="0"/>
    <x v="16"/>
    <x v="0"/>
    <n v="6.5"/>
  </r>
  <r>
    <x v="0"/>
    <x v="16"/>
    <x v="1"/>
    <n v="1"/>
  </r>
  <r>
    <x v="0"/>
    <x v="17"/>
    <x v="0"/>
    <n v="7"/>
  </r>
  <r>
    <x v="0"/>
    <x v="17"/>
    <x v="1"/>
    <n v="2"/>
  </r>
  <r>
    <x v="0"/>
    <x v="18"/>
    <x v="0"/>
    <n v="4.5"/>
  </r>
  <r>
    <x v="0"/>
    <x v="18"/>
    <x v="1"/>
    <n v="0"/>
  </r>
  <r>
    <x v="0"/>
    <x v="19"/>
    <x v="0"/>
    <n v="1.5"/>
  </r>
  <r>
    <x v="0"/>
    <x v="19"/>
    <x v="1"/>
    <n v="7"/>
  </r>
  <r>
    <x v="0"/>
    <x v="20"/>
    <x v="0"/>
    <n v="9"/>
  </r>
  <r>
    <x v="0"/>
    <x v="20"/>
    <x v="1"/>
    <n v="0.5"/>
  </r>
  <r>
    <x v="0"/>
    <x v="21"/>
    <x v="0"/>
    <n v="4"/>
  </r>
  <r>
    <x v="0"/>
    <x v="21"/>
    <x v="1"/>
    <n v="1.5"/>
  </r>
  <r>
    <x v="0"/>
    <x v="22"/>
    <x v="0"/>
    <n v="5.75"/>
  </r>
  <r>
    <x v="0"/>
    <x v="22"/>
    <x v="1"/>
    <n v="2.25"/>
  </r>
  <r>
    <x v="0"/>
    <x v="23"/>
    <x v="0"/>
    <n v="6.25"/>
  </r>
  <r>
    <x v="0"/>
    <x v="23"/>
    <x v="1"/>
    <n v="2.75"/>
  </r>
  <r>
    <x v="0"/>
    <x v="24"/>
    <x v="0"/>
    <n v="4"/>
  </r>
  <r>
    <x v="0"/>
    <x v="24"/>
    <x v="1"/>
    <n v="3.5"/>
  </r>
  <r>
    <x v="0"/>
    <x v="25"/>
    <x v="0"/>
    <n v="5"/>
  </r>
  <r>
    <x v="0"/>
    <x v="25"/>
    <x v="1"/>
    <n v="2.5"/>
  </r>
  <r>
    <x v="0"/>
    <x v="26"/>
    <x v="0"/>
    <n v="6"/>
  </r>
  <r>
    <x v="0"/>
    <x v="26"/>
    <x v="1"/>
    <n v="0.5"/>
  </r>
  <r>
    <x v="0"/>
    <x v="27"/>
    <x v="0"/>
    <n v="5.75"/>
  </r>
  <r>
    <x v="0"/>
    <x v="27"/>
    <x v="1"/>
    <n v="1.75"/>
  </r>
  <r>
    <x v="0"/>
    <x v="28"/>
    <x v="0"/>
    <n v="5.75"/>
  </r>
  <r>
    <x v="0"/>
    <x v="28"/>
    <x v="1"/>
    <n v="1.75"/>
  </r>
  <r>
    <x v="0"/>
    <x v="29"/>
    <x v="0"/>
    <m/>
  </r>
  <r>
    <x v="0"/>
    <x v="29"/>
    <x v="1"/>
    <m/>
  </r>
  <r>
    <x v="0"/>
    <x v="30"/>
    <x v="0"/>
    <m/>
  </r>
  <r>
    <x v="0"/>
    <x v="30"/>
    <x v="1"/>
    <m/>
  </r>
  <r>
    <x v="0"/>
    <x v="31"/>
    <x v="0"/>
    <m/>
  </r>
  <r>
    <x v="0"/>
    <x v="31"/>
    <x v="1"/>
    <n v="7.5"/>
  </r>
  <r>
    <x v="0"/>
    <x v="32"/>
    <x v="0"/>
    <n v="3.75"/>
  </r>
  <r>
    <x v="0"/>
    <x v="32"/>
    <x v="1"/>
    <n v="3.75"/>
  </r>
  <r>
    <x v="0"/>
    <x v="33"/>
    <x v="0"/>
    <n v="3.5"/>
  </r>
  <r>
    <x v="0"/>
    <x v="33"/>
    <x v="1"/>
    <n v="1"/>
  </r>
  <r>
    <x v="0"/>
    <x v="34"/>
    <x v="0"/>
    <n v="3"/>
  </r>
  <r>
    <x v="0"/>
    <x v="34"/>
    <x v="1"/>
    <n v="5"/>
  </r>
  <r>
    <x v="0"/>
    <x v="35"/>
    <x v="0"/>
    <n v="5.5"/>
  </r>
  <r>
    <x v="0"/>
    <x v="35"/>
    <x v="1"/>
    <n v="2"/>
  </r>
  <r>
    <x v="0"/>
    <x v="36"/>
    <x v="0"/>
    <n v="5.5"/>
  </r>
  <r>
    <x v="0"/>
    <x v="36"/>
    <x v="1"/>
    <n v="2.5"/>
  </r>
  <r>
    <x v="0"/>
    <x v="37"/>
    <x v="0"/>
    <m/>
  </r>
  <r>
    <x v="0"/>
    <x v="37"/>
    <x v="1"/>
    <m/>
  </r>
  <r>
    <x v="0"/>
    <x v="38"/>
    <x v="0"/>
    <m/>
  </r>
  <r>
    <x v="0"/>
    <x v="38"/>
    <x v="1"/>
    <m/>
  </r>
  <r>
    <x v="0"/>
    <x v="39"/>
    <x v="0"/>
    <n v="1.25"/>
  </r>
  <r>
    <x v="0"/>
    <x v="39"/>
    <x v="1"/>
    <n v="0.25"/>
  </r>
  <r>
    <x v="1"/>
    <x v="0"/>
    <x v="0"/>
    <n v="0"/>
  </r>
  <r>
    <x v="1"/>
    <x v="0"/>
    <x v="1"/>
    <n v="0"/>
  </r>
  <r>
    <x v="1"/>
    <x v="1"/>
    <x v="0"/>
    <n v="5.5"/>
  </r>
  <r>
    <x v="1"/>
    <x v="1"/>
    <x v="1"/>
    <n v="2"/>
  </r>
  <r>
    <x v="1"/>
    <x v="2"/>
    <x v="0"/>
    <n v="3"/>
  </r>
  <r>
    <x v="1"/>
    <x v="2"/>
    <x v="1"/>
    <n v="3.5"/>
  </r>
  <r>
    <x v="1"/>
    <x v="3"/>
    <x v="0"/>
    <n v="5"/>
  </r>
  <r>
    <x v="1"/>
    <x v="3"/>
    <x v="1"/>
    <n v="2.5"/>
  </r>
  <r>
    <x v="1"/>
    <x v="4"/>
    <x v="0"/>
    <n v="3.8"/>
  </r>
  <r>
    <x v="1"/>
    <x v="4"/>
    <x v="1"/>
    <n v="3.7"/>
  </r>
  <r>
    <x v="1"/>
    <x v="5"/>
    <x v="0"/>
    <n v="4.5"/>
  </r>
  <r>
    <x v="1"/>
    <x v="5"/>
    <x v="1"/>
    <n v="3.5"/>
  </r>
  <r>
    <x v="1"/>
    <x v="6"/>
    <x v="0"/>
    <n v="5.5"/>
  </r>
  <r>
    <x v="1"/>
    <x v="6"/>
    <x v="1"/>
    <n v="3"/>
  </r>
  <r>
    <x v="1"/>
    <x v="7"/>
    <x v="0"/>
    <n v="6.2"/>
  </r>
  <r>
    <x v="1"/>
    <x v="7"/>
    <x v="1"/>
    <n v="1.7999999999999998"/>
  </r>
  <r>
    <x v="1"/>
    <x v="8"/>
    <x v="0"/>
    <n v="3"/>
  </r>
  <r>
    <x v="1"/>
    <x v="8"/>
    <x v="1"/>
    <n v="4.8"/>
  </r>
  <r>
    <x v="1"/>
    <x v="9"/>
    <x v="0"/>
    <n v="4.5"/>
  </r>
  <r>
    <x v="1"/>
    <x v="9"/>
    <x v="1"/>
    <n v="3"/>
  </r>
  <r>
    <x v="1"/>
    <x v="10"/>
    <x v="0"/>
    <n v="3"/>
  </r>
  <r>
    <x v="1"/>
    <x v="10"/>
    <x v="1"/>
    <n v="5"/>
  </r>
  <r>
    <x v="1"/>
    <x v="11"/>
    <x v="0"/>
    <n v="6"/>
  </r>
  <r>
    <x v="1"/>
    <x v="11"/>
    <x v="1"/>
    <n v="1.5"/>
  </r>
  <r>
    <x v="1"/>
    <x v="12"/>
    <x v="0"/>
    <n v="5.5"/>
  </r>
  <r>
    <x v="1"/>
    <x v="12"/>
    <x v="1"/>
    <n v="2"/>
  </r>
  <r>
    <x v="1"/>
    <x v="13"/>
    <x v="0"/>
    <n v="6.5"/>
  </r>
  <r>
    <x v="1"/>
    <x v="13"/>
    <x v="1"/>
    <n v="1.25"/>
  </r>
  <r>
    <x v="1"/>
    <x v="14"/>
    <x v="0"/>
    <n v="5.5"/>
  </r>
  <r>
    <x v="1"/>
    <x v="14"/>
    <x v="1"/>
    <n v="2.25"/>
  </r>
  <r>
    <x v="1"/>
    <x v="15"/>
    <x v="0"/>
    <n v="6"/>
  </r>
  <r>
    <x v="1"/>
    <x v="15"/>
    <x v="1"/>
    <n v="1.5"/>
  </r>
  <r>
    <x v="1"/>
    <x v="16"/>
    <x v="0"/>
    <n v="5.5"/>
  </r>
  <r>
    <x v="1"/>
    <x v="16"/>
    <x v="1"/>
    <n v="2"/>
  </r>
  <r>
    <x v="1"/>
    <x v="17"/>
    <x v="0"/>
    <n v="6"/>
  </r>
  <r>
    <x v="1"/>
    <x v="17"/>
    <x v="1"/>
    <n v="1.75"/>
  </r>
  <r>
    <x v="1"/>
    <x v="18"/>
    <x v="0"/>
    <m/>
  </r>
  <r>
    <x v="1"/>
    <x v="18"/>
    <x v="1"/>
    <m/>
  </r>
  <r>
    <x v="1"/>
    <x v="19"/>
    <x v="0"/>
    <m/>
  </r>
  <r>
    <x v="1"/>
    <x v="19"/>
    <x v="1"/>
    <m/>
  </r>
  <r>
    <x v="1"/>
    <x v="20"/>
    <x v="0"/>
    <n v="5.5"/>
  </r>
  <r>
    <x v="1"/>
    <x v="20"/>
    <x v="1"/>
    <n v="2.5"/>
  </r>
  <r>
    <x v="1"/>
    <x v="21"/>
    <x v="0"/>
    <n v="2"/>
  </r>
  <r>
    <x v="1"/>
    <x v="21"/>
    <x v="1"/>
    <n v="2"/>
  </r>
  <r>
    <x v="1"/>
    <x v="22"/>
    <x v="0"/>
    <n v="3"/>
  </r>
  <r>
    <x v="1"/>
    <x v="22"/>
    <x v="1"/>
    <n v="2.5"/>
  </r>
  <r>
    <x v="1"/>
    <x v="23"/>
    <x v="0"/>
    <n v="2.75"/>
  </r>
  <r>
    <x v="1"/>
    <x v="23"/>
    <x v="1"/>
    <n v="6.25"/>
  </r>
  <r>
    <x v="1"/>
    <x v="24"/>
    <x v="0"/>
    <n v="6"/>
  </r>
  <r>
    <x v="1"/>
    <x v="24"/>
    <x v="1"/>
    <n v="3"/>
  </r>
  <r>
    <x v="1"/>
    <x v="25"/>
    <x v="0"/>
    <n v="6"/>
  </r>
  <r>
    <x v="1"/>
    <x v="25"/>
    <x v="1"/>
    <n v="2"/>
  </r>
  <r>
    <x v="1"/>
    <x v="26"/>
    <x v="0"/>
    <m/>
  </r>
  <r>
    <x v="1"/>
    <x v="26"/>
    <x v="1"/>
    <m/>
  </r>
  <r>
    <x v="1"/>
    <x v="27"/>
    <x v="0"/>
    <n v="6.5"/>
  </r>
  <r>
    <x v="1"/>
    <x v="27"/>
    <x v="1"/>
    <n v="1.25"/>
  </r>
  <r>
    <x v="1"/>
    <x v="28"/>
    <x v="0"/>
    <n v="4.25"/>
  </r>
  <r>
    <x v="1"/>
    <x v="28"/>
    <x v="1"/>
    <n v="3.25"/>
  </r>
  <r>
    <x v="1"/>
    <x v="29"/>
    <x v="0"/>
    <n v="6.75"/>
  </r>
  <r>
    <x v="1"/>
    <x v="29"/>
    <x v="1"/>
    <n v="2.25"/>
  </r>
  <r>
    <x v="1"/>
    <x v="30"/>
    <x v="0"/>
    <n v="2"/>
  </r>
  <r>
    <x v="1"/>
    <x v="30"/>
    <x v="1"/>
    <n v="3"/>
  </r>
  <r>
    <x v="1"/>
    <x v="31"/>
    <x v="0"/>
    <m/>
  </r>
  <r>
    <x v="1"/>
    <x v="31"/>
    <x v="1"/>
    <m/>
  </r>
  <r>
    <x v="1"/>
    <x v="32"/>
    <x v="0"/>
    <n v="5.25"/>
  </r>
  <r>
    <x v="1"/>
    <x v="32"/>
    <x v="1"/>
    <n v="3.25"/>
  </r>
  <r>
    <x v="1"/>
    <x v="33"/>
    <x v="0"/>
    <n v="7"/>
  </r>
  <r>
    <x v="1"/>
    <x v="33"/>
    <x v="1"/>
    <n v="0.5"/>
  </r>
  <r>
    <x v="1"/>
    <x v="34"/>
    <x v="0"/>
    <n v="5.6"/>
  </r>
  <r>
    <x v="1"/>
    <x v="34"/>
    <x v="1"/>
    <n v="3"/>
  </r>
  <r>
    <x v="1"/>
    <x v="35"/>
    <x v="0"/>
    <n v="7.25"/>
  </r>
  <r>
    <x v="1"/>
    <x v="35"/>
    <x v="1"/>
    <n v="0.75"/>
  </r>
  <r>
    <x v="1"/>
    <x v="36"/>
    <x v="0"/>
    <n v="7.6"/>
  </r>
  <r>
    <x v="1"/>
    <x v="36"/>
    <x v="1"/>
    <n v="0.9"/>
  </r>
  <r>
    <x v="1"/>
    <x v="37"/>
    <x v="0"/>
    <m/>
  </r>
  <r>
    <x v="1"/>
    <x v="37"/>
    <x v="1"/>
    <m/>
  </r>
  <r>
    <x v="1"/>
    <x v="38"/>
    <x v="0"/>
    <m/>
  </r>
  <r>
    <x v="1"/>
    <x v="38"/>
    <x v="1"/>
    <m/>
  </r>
  <r>
    <x v="1"/>
    <x v="40"/>
    <x v="0"/>
    <n v="1"/>
  </r>
  <r>
    <x v="1"/>
    <x v="40"/>
    <x v="1"/>
    <n v="0"/>
  </r>
  <r>
    <x v="1"/>
    <x v="41"/>
    <x v="0"/>
    <n v="5.5"/>
  </r>
  <r>
    <x v="1"/>
    <x v="41"/>
    <x v="1"/>
    <n v="0.75"/>
  </r>
  <r>
    <x v="1"/>
    <x v="42"/>
    <x v="0"/>
    <n v="7.5"/>
  </r>
  <r>
    <x v="1"/>
    <x v="42"/>
    <x v="1"/>
    <n v="0"/>
  </r>
  <r>
    <x v="1"/>
    <x v="39"/>
    <x v="0"/>
    <n v="3"/>
  </r>
  <r>
    <x v="1"/>
    <x v="39"/>
    <x v="1"/>
    <n v="0.25"/>
  </r>
  <r>
    <x v="2"/>
    <x v="0"/>
    <x v="0"/>
    <n v="6.25"/>
  </r>
  <r>
    <x v="2"/>
    <x v="0"/>
    <x v="1"/>
    <n v="0.5"/>
  </r>
  <r>
    <x v="2"/>
    <x v="1"/>
    <x v="0"/>
    <n v="6"/>
  </r>
  <r>
    <x v="2"/>
    <x v="1"/>
    <x v="1"/>
    <n v="1"/>
  </r>
  <r>
    <x v="2"/>
    <x v="2"/>
    <x v="0"/>
    <n v="4.5"/>
  </r>
  <r>
    <x v="2"/>
    <x v="2"/>
    <x v="1"/>
    <n v="3"/>
  </r>
  <r>
    <x v="2"/>
    <x v="3"/>
    <x v="0"/>
    <n v="1"/>
  </r>
  <r>
    <x v="2"/>
    <x v="3"/>
    <x v="1"/>
    <n v="6.5"/>
  </r>
  <r>
    <x v="2"/>
    <x v="4"/>
    <x v="0"/>
    <n v="0"/>
  </r>
  <r>
    <x v="2"/>
    <x v="4"/>
    <x v="1"/>
    <n v="7.5"/>
  </r>
  <r>
    <x v="2"/>
    <x v="5"/>
    <x v="0"/>
    <n v="0"/>
  </r>
  <r>
    <x v="2"/>
    <x v="5"/>
    <x v="1"/>
    <n v="0"/>
  </r>
  <r>
    <x v="2"/>
    <x v="6"/>
    <x v="0"/>
    <n v="4.3"/>
  </r>
  <r>
    <x v="2"/>
    <x v="6"/>
    <x v="1"/>
    <n v="4.2"/>
  </r>
  <r>
    <x v="2"/>
    <x v="7"/>
    <x v="0"/>
    <n v="6.8"/>
  </r>
  <r>
    <x v="2"/>
    <x v="7"/>
    <x v="1"/>
    <n v="1.2000000000000002"/>
  </r>
  <r>
    <x v="2"/>
    <x v="8"/>
    <x v="0"/>
    <n v="6"/>
  </r>
  <r>
    <x v="2"/>
    <x v="8"/>
    <x v="1"/>
    <n v="1.5"/>
  </r>
  <r>
    <x v="2"/>
    <x v="9"/>
    <x v="0"/>
    <n v="3.5"/>
  </r>
  <r>
    <x v="2"/>
    <x v="9"/>
    <x v="1"/>
    <n v="4"/>
  </r>
  <r>
    <x v="2"/>
    <x v="10"/>
    <x v="0"/>
    <n v="4.5"/>
  </r>
  <r>
    <x v="2"/>
    <x v="10"/>
    <x v="1"/>
    <n v="3"/>
  </r>
  <r>
    <x v="2"/>
    <x v="11"/>
    <x v="0"/>
    <n v="5.5"/>
  </r>
  <r>
    <x v="2"/>
    <x v="11"/>
    <x v="1"/>
    <n v="1.5"/>
  </r>
  <r>
    <x v="2"/>
    <x v="12"/>
    <x v="0"/>
    <n v="6.5"/>
  </r>
  <r>
    <x v="2"/>
    <x v="12"/>
    <x v="1"/>
    <n v="1.8000000000000007"/>
  </r>
  <r>
    <x v="2"/>
    <x v="13"/>
    <x v="0"/>
    <n v="5"/>
  </r>
  <r>
    <x v="2"/>
    <x v="13"/>
    <x v="1"/>
    <n v="3"/>
  </r>
  <r>
    <x v="2"/>
    <x v="14"/>
    <x v="0"/>
    <n v="4"/>
  </r>
  <r>
    <x v="2"/>
    <x v="14"/>
    <x v="1"/>
    <n v="4"/>
  </r>
  <r>
    <x v="2"/>
    <x v="15"/>
    <x v="0"/>
    <n v="5"/>
  </r>
  <r>
    <x v="2"/>
    <x v="15"/>
    <x v="1"/>
    <n v="2.5"/>
  </r>
  <r>
    <x v="2"/>
    <x v="16"/>
    <x v="0"/>
    <n v="0"/>
  </r>
  <r>
    <x v="2"/>
    <x v="16"/>
    <x v="1"/>
    <n v="8"/>
  </r>
  <r>
    <x v="2"/>
    <x v="17"/>
    <x v="0"/>
    <m/>
  </r>
  <r>
    <x v="2"/>
    <x v="17"/>
    <x v="1"/>
    <m/>
  </r>
  <r>
    <x v="2"/>
    <x v="18"/>
    <x v="0"/>
    <m/>
  </r>
  <r>
    <x v="2"/>
    <x v="18"/>
    <x v="1"/>
    <m/>
  </r>
  <r>
    <x v="2"/>
    <x v="19"/>
    <x v="0"/>
    <m/>
  </r>
  <r>
    <x v="2"/>
    <x v="19"/>
    <x v="1"/>
    <m/>
  </r>
  <r>
    <x v="2"/>
    <x v="20"/>
    <x v="0"/>
    <n v="8.25"/>
  </r>
  <r>
    <x v="2"/>
    <x v="20"/>
    <x v="1"/>
    <n v="1.75"/>
  </r>
  <r>
    <x v="2"/>
    <x v="21"/>
    <x v="0"/>
    <n v="5"/>
  </r>
  <r>
    <x v="2"/>
    <x v="21"/>
    <x v="1"/>
    <n v="2.5"/>
  </r>
  <r>
    <x v="2"/>
    <x v="22"/>
    <x v="0"/>
    <n v="6"/>
  </r>
  <r>
    <x v="2"/>
    <x v="22"/>
    <x v="1"/>
    <n v="1.5"/>
  </r>
  <r>
    <x v="2"/>
    <x v="23"/>
    <x v="0"/>
    <n v="6"/>
  </r>
  <r>
    <x v="2"/>
    <x v="23"/>
    <x v="1"/>
    <n v="1.5"/>
  </r>
  <r>
    <x v="2"/>
    <x v="24"/>
    <x v="0"/>
    <n v="6"/>
  </r>
  <r>
    <x v="2"/>
    <x v="24"/>
    <x v="1"/>
    <n v="2.5"/>
  </r>
  <r>
    <x v="2"/>
    <x v="25"/>
    <x v="0"/>
    <n v="4"/>
  </r>
  <r>
    <x v="2"/>
    <x v="25"/>
    <x v="1"/>
    <n v="4"/>
  </r>
  <r>
    <x v="2"/>
    <x v="26"/>
    <x v="0"/>
    <n v="6"/>
  </r>
  <r>
    <x v="2"/>
    <x v="26"/>
    <x v="1"/>
    <n v="2"/>
  </r>
  <r>
    <x v="2"/>
    <x v="27"/>
    <x v="0"/>
    <n v="6.5"/>
  </r>
  <r>
    <x v="2"/>
    <x v="27"/>
    <x v="1"/>
    <n v="1.25"/>
  </r>
  <r>
    <x v="2"/>
    <x v="28"/>
    <x v="0"/>
    <n v="5.5"/>
  </r>
  <r>
    <x v="2"/>
    <x v="28"/>
    <x v="1"/>
    <n v="2"/>
  </r>
  <r>
    <x v="2"/>
    <x v="29"/>
    <x v="0"/>
    <n v="6"/>
  </r>
  <r>
    <x v="2"/>
    <x v="29"/>
    <x v="1"/>
    <n v="1.5"/>
  </r>
  <r>
    <x v="2"/>
    <x v="30"/>
    <x v="0"/>
    <n v="5.5"/>
  </r>
  <r>
    <x v="2"/>
    <x v="30"/>
    <x v="1"/>
    <n v="2"/>
  </r>
  <r>
    <x v="2"/>
    <x v="31"/>
    <x v="0"/>
    <m/>
  </r>
  <r>
    <x v="2"/>
    <x v="31"/>
    <x v="1"/>
    <m/>
  </r>
  <r>
    <x v="2"/>
    <x v="32"/>
    <x v="0"/>
    <n v="5.25"/>
  </r>
  <r>
    <x v="2"/>
    <x v="32"/>
    <x v="1"/>
    <n v="2.25"/>
  </r>
  <r>
    <x v="2"/>
    <x v="33"/>
    <x v="0"/>
    <n v="5.35"/>
  </r>
  <r>
    <x v="2"/>
    <x v="33"/>
    <x v="1"/>
    <n v="2.15"/>
  </r>
  <r>
    <x v="2"/>
    <x v="34"/>
    <x v="0"/>
    <n v="5.4"/>
  </r>
  <r>
    <x v="2"/>
    <x v="34"/>
    <x v="1"/>
    <n v="2.1"/>
  </r>
  <r>
    <x v="2"/>
    <x v="35"/>
    <x v="0"/>
    <n v="5.2"/>
  </r>
  <r>
    <x v="2"/>
    <x v="35"/>
    <x v="1"/>
    <n v="2.2999999999999998"/>
  </r>
  <r>
    <x v="2"/>
    <x v="36"/>
    <x v="0"/>
    <n v="5.4"/>
  </r>
  <r>
    <x v="2"/>
    <x v="36"/>
    <x v="1"/>
    <n v="2.1"/>
  </r>
  <r>
    <x v="2"/>
    <x v="37"/>
    <x v="0"/>
    <m/>
  </r>
  <r>
    <x v="2"/>
    <x v="37"/>
    <x v="1"/>
    <m/>
  </r>
  <r>
    <x v="2"/>
    <x v="38"/>
    <x v="0"/>
    <m/>
  </r>
  <r>
    <x v="2"/>
    <x v="38"/>
    <x v="1"/>
    <m/>
  </r>
  <r>
    <x v="2"/>
    <x v="43"/>
    <x v="0"/>
    <n v="7"/>
  </r>
  <r>
    <x v="2"/>
    <x v="43"/>
    <x v="1"/>
    <n v="0.5"/>
  </r>
  <r>
    <x v="2"/>
    <x v="41"/>
    <x v="0"/>
    <n v="5.25"/>
  </r>
  <r>
    <x v="2"/>
    <x v="41"/>
    <x v="1"/>
    <n v="1.25"/>
  </r>
  <r>
    <x v="2"/>
    <x v="42"/>
    <x v="0"/>
    <n v="5"/>
  </r>
  <r>
    <x v="2"/>
    <x v="42"/>
    <x v="1"/>
    <n v="2.5"/>
  </r>
  <r>
    <x v="3"/>
    <x v="0"/>
    <x v="0"/>
    <n v="0"/>
  </r>
  <r>
    <x v="3"/>
    <x v="0"/>
    <x v="1"/>
    <n v="0"/>
  </r>
  <r>
    <x v="3"/>
    <x v="1"/>
    <x v="0"/>
    <n v="5.5"/>
  </r>
  <r>
    <x v="3"/>
    <x v="1"/>
    <x v="1"/>
    <n v="2"/>
  </r>
  <r>
    <x v="3"/>
    <x v="2"/>
    <x v="0"/>
    <n v="0.3"/>
  </r>
  <r>
    <x v="3"/>
    <x v="2"/>
    <x v="1"/>
    <n v="7.2"/>
  </r>
  <r>
    <x v="3"/>
    <x v="3"/>
    <x v="0"/>
    <n v="3"/>
  </r>
  <r>
    <x v="3"/>
    <x v="3"/>
    <x v="1"/>
    <n v="4.5"/>
  </r>
  <r>
    <x v="3"/>
    <x v="4"/>
    <x v="0"/>
    <n v="3"/>
  </r>
  <r>
    <x v="3"/>
    <x v="4"/>
    <x v="1"/>
    <n v="4.5"/>
  </r>
  <r>
    <x v="3"/>
    <x v="5"/>
    <x v="0"/>
    <n v="6"/>
  </r>
  <r>
    <x v="3"/>
    <x v="5"/>
    <x v="1"/>
    <n v="1.5"/>
  </r>
  <r>
    <x v="3"/>
    <x v="6"/>
    <x v="0"/>
    <n v="6"/>
  </r>
  <r>
    <x v="3"/>
    <x v="6"/>
    <x v="1"/>
    <n v="3.5"/>
  </r>
  <r>
    <x v="3"/>
    <x v="7"/>
    <x v="0"/>
    <n v="5"/>
  </r>
  <r>
    <x v="3"/>
    <x v="7"/>
    <x v="1"/>
    <n v="2.5"/>
  </r>
  <r>
    <x v="3"/>
    <x v="8"/>
    <x v="0"/>
    <n v="0"/>
  </r>
  <r>
    <x v="3"/>
    <x v="8"/>
    <x v="1"/>
    <n v="0"/>
  </r>
  <r>
    <x v="3"/>
    <x v="9"/>
    <x v="0"/>
    <n v="7"/>
  </r>
  <r>
    <x v="3"/>
    <x v="9"/>
    <x v="1"/>
    <n v="2.5"/>
  </r>
  <r>
    <x v="3"/>
    <x v="10"/>
    <x v="0"/>
    <n v="5.5"/>
  </r>
  <r>
    <x v="3"/>
    <x v="10"/>
    <x v="1"/>
    <n v="2.5"/>
  </r>
  <r>
    <x v="3"/>
    <x v="11"/>
    <x v="0"/>
    <n v="5.25"/>
  </r>
  <r>
    <x v="3"/>
    <x v="11"/>
    <x v="1"/>
    <n v="2.75"/>
  </r>
  <r>
    <x v="3"/>
    <x v="12"/>
    <x v="0"/>
    <n v="3.5"/>
  </r>
  <r>
    <x v="3"/>
    <x v="12"/>
    <x v="1"/>
    <n v="1.5"/>
  </r>
  <r>
    <x v="3"/>
    <x v="13"/>
    <x v="0"/>
    <m/>
  </r>
  <r>
    <x v="3"/>
    <x v="13"/>
    <x v="1"/>
    <m/>
  </r>
  <r>
    <x v="3"/>
    <x v="14"/>
    <x v="0"/>
    <m/>
  </r>
  <r>
    <x v="3"/>
    <x v="14"/>
    <x v="1"/>
    <m/>
  </r>
  <r>
    <x v="3"/>
    <x v="15"/>
    <x v="0"/>
    <n v="6"/>
  </r>
  <r>
    <x v="3"/>
    <x v="15"/>
    <x v="1"/>
    <n v="2.5"/>
  </r>
  <r>
    <x v="3"/>
    <x v="16"/>
    <x v="0"/>
    <n v="5"/>
  </r>
  <r>
    <x v="3"/>
    <x v="16"/>
    <x v="1"/>
    <n v="1"/>
  </r>
  <r>
    <x v="3"/>
    <x v="17"/>
    <x v="0"/>
    <n v="7.5"/>
  </r>
  <r>
    <x v="3"/>
    <x v="17"/>
    <x v="1"/>
    <n v="2.5"/>
  </r>
  <r>
    <x v="3"/>
    <x v="18"/>
    <x v="0"/>
    <n v="7"/>
  </r>
  <r>
    <x v="3"/>
    <x v="18"/>
    <x v="1"/>
    <n v="0.5"/>
  </r>
  <r>
    <x v="3"/>
    <x v="19"/>
    <x v="0"/>
    <n v="5"/>
  </r>
  <r>
    <x v="3"/>
    <x v="19"/>
    <x v="1"/>
    <n v="4.5"/>
  </r>
  <r>
    <x v="3"/>
    <x v="20"/>
    <x v="0"/>
    <n v="5.75"/>
  </r>
  <r>
    <x v="3"/>
    <x v="20"/>
    <x v="1"/>
    <n v="2.75"/>
  </r>
  <r>
    <x v="3"/>
    <x v="21"/>
    <x v="0"/>
    <n v="2"/>
  </r>
  <r>
    <x v="3"/>
    <x v="21"/>
    <x v="1"/>
    <n v="2"/>
  </r>
  <r>
    <x v="3"/>
    <x v="22"/>
    <x v="0"/>
    <n v="3.5"/>
  </r>
  <r>
    <x v="3"/>
    <x v="22"/>
    <x v="1"/>
    <n v="3"/>
  </r>
  <r>
    <x v="3"/>
    <x v="23"/>
    <x v="0"/>
    <n v="7.15"/>
  </r>
  <r>
    <x v="3"/>
    <x v="23"/>
    <x v="1"/>
    <n v="2.75"/>
  </r>
  <r>
    <x v="3"/>
    <x v="24"/>
    <x v="0"/>
    <n v="4.5"/>
  </r>
  <r>
    <x v="3"/>
    <x v="24"/>
    <x v="1"/>
    <n v="3"/>
  </r>
  <r>
    <x v="3"/>
    <x v="25"/>
    <x v="0"/>
    <n v="5.5"/>
  </r>
  <r>
    <x v="3"/>
    <x v="25"/>
    <x v="1"/>
    <n v="2.5"/>
  </r>
  <r>
    <x v="3"/>
    <x v="26"/>
    <x v="0"/>
    <n v="5.25"/>
  </r>
  <r>
    <x v="3"/>
    <x v="26"/>
    <x v="1"/>
    <n v="2.25"/>
  </r>
  <r>
    <x v="3"/>
    <x v="27"/>
    <x v="0"/>
    <n v="8.75"/>
  </r>
  <r>
    <x v="3"/>
    <x v="27"/>
    <x v="1"/>
    <n v="0.75"/>
  </r>
  <r>
    <x v="3"/>
    <x v="28"/>
    <x v="0"/>
    <n v="7.25"/>
  </r>
  <r>
    <x v="3"/>
    <x v="28"/>
    <x v="1"/>
    <n v="3.5"/>
  </r>
  <r>
    <x v="3"/>
    <x v="29"/>
    <x v="0"/>
    <n v="6"/>
  </r>
  <r>
    <x v="3"/>
    <x v="29"/>
    <x v="1"/>
    <n v="2"/>
  </r>
  <r>
    <x v="3"/>
    <x v="30"/>
    <x v="0"/>
    <n v="5.5"/>
  </r>
  <r>
    <x v="3"/>
    <x v="30"/>
    <x v="1"/>
    <n v="0.5"/>
  </r>
  <r>
    <x v="3"/>
    <x v="31"/>
    <x v="0"/>
    <m/>
  </r>
  <r>
    <x v="3"/>
    <x v="31"/>
    <x v="1"/>
    <m/>
  </r>
  <r>
    <x v="3"/>
    <x v="32"/>
    <x v="0"/>
    <n v="5.25"/>
  </r>
  <r>
    <x v="3"/>
    <x v="32"/>
    <x v="1"/>
    <n v="4.25"/>
  </r>
  <r>
    <x v="3"/>
    <x v="33"/>
    <x v="0"/>
    <n v="6.75"/>
  </r>
  <r>
    <x v="3"/>
    <x v="33"/>
    <x v="1"/>
    <n v="0.75"/>
  </r>
  <r>
    <x v="3"/>
    <x v="34"/>
    <x v="0"/>
    <n v="4.5"/>
  </r>
  <r>
    <x v="3"/>
    <x v="34"/>
    <x v="1"/>
    <n v="3"/>
  </r>
  <r>
    <x v="3"/>
    <x v="35"/>
    <x v="0"/>
    <n v="5.5"/>
  </r>
  <r>
    <x v="3"/>
    <x v="35"/>
    <x v="1"/>
    <n v="0.5"/>
  </r>
  <r>
    <x v="3"/>
    <x v="36"/>
    <x v="0"/>
    <n v="7"/>
  </r>
  <r>
    <x v="3"/>
    <x v="36"/>
    <x v="1"/>
    <n v="0.5"/>
  </r>
  <r>
    <x v="3"/>
    <x v="37"/>
    <x v="0"/>
    <m/>
  </r>
  <r>
    <x v="3"/>
    <x v="37"/>
    <x v="1"/>
    <m/>
  </r>
  <r>
    <x v="3"/>
    <x v="38"/>
    <x v="0"/>
    <m/>
  </r>
  <r>
    <x v="3"/>
    <x v="38"/>
    <x v="1"/>
    <m/>
  </r>
  <r>
    <x v="3"/>
    <x v="41"/>
    <x v="0"/>
    <n v="4.75"/>
  </r>
  <r>
    <x v="3"/>
    <x v="41"/>
    <x v="1"/>
    <n v="0.25"/>
  </r>
  <r>
    <x v="3"/>
    <x v="42"/>
    <x v="0"/>
    <n v="7"/>
  </r>
  <r>
    <x v="3"/>
    <x v="42"/>
    <x v="1"/>
    <n v="1.5"/>
  </r>
  <r>
    <x v="0"/>
    <x v="44"/>
    <x v="0"/>
    <n v="2"/>
  </r>
  <r>
    <x v="0"/>
    <x v="44"/>
    <x v="1"/>
    <n v="3.25"/>
  </r>
  <r>
    <x v="1"/>
    <x v="44"/>
    <x v="0"/>
    <n v="4.75"/>
  </r>
  <r>
    <x v="1"/>
    <x v="44"/>
    <x v="1"/>
    <n v="1.25"/>
  </r>
  <r>
    <x v="2"/>
    <x v="44"/>
    <x v="0"/>
    <n v="5.75"/>
  </r>
  <r>
    <x v="2"/>
    <x v="44"/>
    <x v="1"/>
    <n v="0.5"/>
  </r>
  <r>
    <x v="3"/>
    <x v="44"/>
    <x v="0"/>
    <n v="4.25"/>
  </r>
  <r>
    <x v="3"/>
    <x v="44"/>
    <x v="1"/>
    <n v="1.25"/>
  </r>
  <r>
    <x v="0"/>
    <x v="45"/>
    <x v="0"/>
    <n v="6.5"/>
  </r>
  <r>
    <x v="0"/>
    <x v="45"/>
    <x v="1"/>
    <n v="1"/>
  </r>
  <r>
    <x v="1"/>
    <x v="45"/>
    <x v="0"/>
    <n v="6.25"/>
  </r>
  <r>
    <x v="1"/>
    <x v="45"/>
    <x v="1"/>
    <n v="1.25"/>
  </r>
  <r>
    <x v="3"/>
    <x v="45"/>
    <x v="0"/>
    <n v="7"/>
  </r>
  <r>
    <x v="3"/>
    <x v="45"/>
    <x v="1"/>
    <n v="0.25"/>
  </r>
  <r>
    <x v="2"/>
    <x v="45"/>
    <x v="0"/>
    <n v="4"/>
  </r>
  <r>
    <x v="2"/>
    <x v="45"/>
    <x v="1"/>
    <n v="1"/>
  </r>
  <r>
    <x v="3"/>
    <x v="46"/>
    <x v="0"/>
    <n v="7"/>
  </r>
  <r>
    <x v="3"/>
    <x v="46"/>
    <x v="1"/>
    <n v="0.5"/>
  </r>
  <r>
    <x v="3"/>
    <x v="47"/>
    <x v="0"/>
    <n v="2.5"/>
  </r>
  <r>
    <x v="3"/>
    <x v="47"/>
    <x v="1"/>
    <n v="1"/>
  </r>
  <r>
    <x v="3"/>
    <x v="48"/>
    <x v="0"/>
    <n v="7.25"/>
  </r>
  <r>
    <x v="3"/>
    <x v="48"/>
    <x v="1"/>
    <n v="0.25"/>
  </r>
  <r>
    <x v="3"/>
    <x v="49"/>
    <x v="0"/>
    <n v="6.25"/>
  </r>
  <r>
    <x v="3"/>
    <x v="49"/>
    <x v="1"/>
    <n v="1.25"/>
  </r>
  <r>
    <x v="3"/>
    <x v="50"/>
    <x v="0"/>
    <n v="5.25"/>
  </r>
  <r>
    <x v="3"/>
    <x v="50"/>
    <x v="1"/>
    <n v="2.25"/>
  </r>
  <r>
    <x v="0"/>
    <x v="46"/>
    <x v="0"/>
    <n v="7"/>
  </r>
  <r>
    <x v="0"/>
    <x v="46"/>
    <x v="1"/>
    <n v="0.5"/>
  </r>
  <r>
    <x v="0"/>
    <x v="47"/>
    <x v="0"/>
    <n v="7"/>
  </r>
  <r>
    <x v="0"/>
    <x v="47"/>
    <x v="1"/>
    <n v="0.5"/>
  </r>
  <r>
    <x v="0"/>
    <x v="48"/>
    <x v="0"/>
    <n v="6.5"/>
  </r>
  <r>
    <x v="0"/>
    <x v="48"/>
    <x v="1"/>
    <n v="1"/>
  </r>
  <r>
    <x v="0"/>
    <x v="49"/>
    <x v="0"/>
    <n v="7"/>
  </r>
  <r>
    <x v="0"/>
    <x v="49"/>
    <x v="1"/>
    <n v="0.5"/>
  </r>
  <r>
    <x v="0"/>
    <x v="50"/>
    <x v="0"/>
    <n v="5"/>
  </r>
  <r>
    <x v="0"/>
    <x v="50"/>
    <x v="1"/>
    <n v="0.5"/>
  </r>
  <r>
    <x v="2"/>
    <x v="46"/>
    <x v="0"/>
    <n v="7"/>
  </r>
  <r>
    <x v="2"/>
    <x v="46"/>
    <x v="1"/>
    <n v="0.5"/>
  </r>
  <r>
    <x v="2"/>
    <x v="47"/>
    <x v="0"/>
    <n v="3.75"/>
  </r>
  <r>
    <x v="2"/>
    <x v="47"/>
    <x v="1"/>
    <n v="1"/>
  </r>
  <r>
    <x v="2"/>
    <x v="48"/>
    <x v="0"/>
    <n v="6.25"/>
  </r>
  <r>
    <x v="2"/>
    <x v="48"/>
    <x v="1"/>
    <n v="1.25"/>
  </r>
  <r>
    <x v="2"/>
    <x v="49"/>
    <x v="0"/>
    <n v="6.5"/>
  </r>
  <r>
    <x v="2"/>
    <x v="49"/>
    <x v="1"/>
    <n v="1"/>
  </r>
  <r>
    <x v="2"/>
    <x v="50"/>
    <x v="0"/>
    <n v="6"/>
  </r>
  <r>
    <x v="2"/>
    <x v="50"/>
    <x v="1"/>
    <n v="1.5"/>
  </r>
  <r>
    <x v="1"/>
    <x v="46"/>
    <x v="0"/>
    <n v="5"/>
  </r>
  <r>
    <x v="1"/>
    <x v="46"/>
    <x v="1"/>
    <n v="1"/>
  </r>
  <r>
    <x v="1"/>
    <x v="47"/>
    <x v="0"/>
    <n v="6"/>
  </r>
  <r>
    <x v="1"/>
    <x v="47"/>
    <x v="1"/>
    <n v="1.5"/>
  </r>
  <r>
    <x v="1"/>
    <x v="48"/>
    <x v="0"/>
    <n v="6.5"/>
  </r>
  <r>
    <x v="1"/>
    <x v="48"/>
    <x v="1"/>
    <n v="1"/>
  </r>
  <r>
    <x v="1"/>
    <x v="49"/>
    <x v="0"/>
    <n v="6.5"/>
  </r>
  <r>
    <x v="1"/>
    <x v="49"/>
    <x v="1"/>
    <n v="1"/>
  </r>
  <r>
    <x v="1"/>
    <x v="50"/>
    <x v="0"/>
    <n v="6.5"/>
  </r>
  <r>
    <x v="1"/>
    <x v="50"/>
    <x v="1"/>
    <n v="1"/>
  </r>
  <r>
    <x v="4"/>
    <x v="51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21" applyNumberFormats="0" applyBorderFormats="0" applyFontFormats="0" applyPatternFormats="0" applyAlignmentFormats="0" applyWidthHeightFormats="1" dataCaption="値" updatedVersion="5" minRefreshableVersion="3" useAutoFormatting="1" itemPrintTitles="1" createdVersion="4" indent="0" outline="1" outlineData="1" chartFormat="31">
  <location ref="A14:B17" firstHeaderRow="1" firstDataRow="1" firstDataCol="1" rowPageCount="1" colPageCount="1"/>
  <pivotFields count="4">
    <pivotField showAll="0"/>
    <pivotField axis="axisPage" numFmtId="56" multipleItemSelectionAllowed="1" showAll="0">
      <items count="56">
        <item h="1" x="0"/>
        <item h="1" x="1"/>
        <item h="1" x="2"/>
        <item h="1" x="3"/>
        <item h="1" x="4"/>
        <item h="1" x="5"/>
        <item h="1" x="6"/>
        <item h="1" x="51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m="1" x="52"/>
        <item h="1" m="1" x="53"/>
        <item h="1" m="1" x="54"/>
        <item h="1" x="43"/>
        <item h="1" x="40"/>
        <item h="1" x="41"/>
        <item h="1" x="39"/>
        <item h="1" x="42"/>
        <item h="1" x="44"/>
        <item h="1" x="45"/>
        <item h="1" x="46"/>
        <item x="47"/>
        <item x="48"/>
        <item x="49"/>
        <item x="50"/>
        <item t="default"/>
      </items>
    </pivotField>
    <pivotField axis="axisRow" showAll="0" sortType="ascending">
      <items count="4">
        <item x="0"/>
        <item x="1"/>
        <item h="1" x="2"/>
        <item t="default"/>
      </items>
    </pivotField>
    <pivotField dataField="1" showAll="0"/>
  </pivotFields>
  <rowFields count="1">
    <field x="2"/>
  </rowFields>
  <rowItems count="3">
    <i>
      <x/>
    </i>
    <i>
      <x v="1"/>
    </i>
    <i t="grand">
      <x/>
    </i>
  </rowItems>
  <colItems count="1">
    <i/>
  </colItems>
  <pageFields count="1">
    <pageField fld="1" hier="-1"/>
  </pageFields>
  <dataFields count="1">
    <dataField name="合計 / Hrs" fld="3" baseField="0" baseItem="0"/>
  </dataFields>
  <chartFormats count="9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4" format="3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21" applyNumberFormats="0" applyBorderFormats="0" applyFontFormats="0" applyPatternFormats="0" applyAlignmentFormats="0" applyWidthHeightFormats="1" dataCaption="値" updatedVersion="5" minRefreshableVersion="3" useAutoFormatting="1" itemPrintTitles="1" createdVersion="4" indent="0" outline="1" outlineData="1" chartFormat="17" fieldListSortAscending="1">
  <location ref="A3:B6" firstHeaderRow="1" firstDataRow="1" firstDataCol="1" rowPageCount="1" colPageCount="1"/>
  <pivotFields count="4">
    <pivotField showAll="0"/>
    <pivotField axis="axisPage" numFmtId="56" multipleItemSelectionAllowed="1" showAll="0">
      <items count="56">
        <item h="1" x="0"/>
        <item h="1" x="1"/>
        <item h="1" x="2"/>
        <item h="1" x="3"/>
        <item h="1" x="4"/>
        <item h="1" x="5"/>
        <item h="1" x="6"/>
        <item h="1" x="51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m="1" x="52"/>
        <item h="1" m="1" x="53"/>
        <item h="1" m="1" x="54"/>
        <item h="1" x="43"/>
        <item h="1" x="40"/>
        <item h="1" x="41"/>
        <item h="1" x="39"/>
        <item h="1" x="42"/>
        <item h="1" x="44"/>
        <item h="1" x="45"/>
        <item x="46"/>
        <item x="47"/>
        <item x="48"/>
        <item x="49"/>
        <item x="50"/>
        <item t="default"/>
      </items>
    </pivotField>
    <pivotField axis="axisRow" showAll="0" sortType="ascending">
      <items count="4">
        <item x="0"/>
        <item x="1"/>
        <item h="1" x="2"/>
        <item t="default"/>
      </items>
    </pivotField>
    <pivotField dataField="1" showAll="0"/>
  </pivotFields>
  <rowFields count="1">
    <field x="2"/>
  </rowFields>
  <rowItems count="3">
    <i>
      <x/>
    </i>
    <i>
      <x v="1"/>
    </i>
    <i t="grand">
      <x/>
    </i>
  </rowItems>
  <colItems count="1">
    <i/>
  </colItems>
  <pageFields count="1">
    <pageField fld="1" hier="-1"/>
  </pageFields>
  <dataFields count="1">
    <dataField name="合計 / Hrs" fld="3" baseField="0" baseItem="0"/>
  </dataFields>
  <chartFormats count="3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21" applyNumberFormats="0" applyBorderFormats="0" applyFontFormats="0" applyPatternFormats="0" applyAlignmentFormats="0" applyWidthHeightFormats="1" dataCaption="値" updatedVersion="5" minRefreshableVersion="3" useAutoFormatting="1" itemPrintTitles="1" createdVersion="4" indent="0" outline="1" outlineData="1" multipleFieldFilters="0" chartFormat="1">
  <location ref="A25:B29" firstHeaderRow="1" firstDataRow="1" firstDataCol="1" rowPageCount="1" colPageCount="1"/>
  <pivotFields count="4">
    <pivotField showAll="0"/>
    <pivotField axis="axisPage" showAll="0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51"/>
        <item x="34"/>
        <item x="35"/>
        <item x="36"/>
        <item x="37"/>
        <item x="38"/>
        <item m="1" x="52"/>
        <item m="1" x="53"/>
        <item m="1" x="54"/>
        <item x="43"/>
        <item x="40"/>
        <item x="41"/>
        <item x="39"/>
        <item x="42"/>
        <item x="44"/>
        <item x="45"/>
        <item x="46"/>
        <item x="47"/>
        <item x="48"/>
        <item x="49"/>
        <item x="50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合計 / Hrs" fld="3" baseField="2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21" applyNumberFormats="0" applyBorderFormats="0" applyFontFormats="0" applyPatternFormats="0" applyAlignmentFormats="0" applyWidthHeightFormats="1" dataCaption="値" updatedVersion="5" minRefreshableVersion="3" useAutoFormatting="1" itemPrintTitles="1" createdVersion="4" indent="0" outline="1" outlineData="1" multipleFieldFilters="0" chartFormat="9">
  <location ref="A3:D30" firstHeaderRow="1" firstDataRow="2" firstDataCol="1"/>
  <pivotFields count="4">
    <pivotField axis="axisRow" showAll="0">
      <items count="7">
        <item x="0"/>
        <item x="1"/>
        <item x="2"/>
        <item x="3"/>
        <item h="1" x="4"/>
        <item h="1" m="1" x="5"/>
        <item t="default"/>
      </items>
    </pivotField>
    <pivotField axis="axisRow" numFmtId="56" showAll="0" sortType="ascending">
      <items count="5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m="1" x="52"/>
        <item h="1" m="1" x="53"/>
        <item h="1" m="1" x="54"/>
        <item h="1" x="43"/>
        <item h="1" x="40"/>
        <item h="1" x="41"/>
        <item h="1" x="42"/>
        <item h="1" x="39"/>
        <item h="1" x="44"/>
        <item h="1" x="45"/>
        <item x="46"/>
        <item x="47"/>
        <item x="48"/>
        <item x="49"/>
        <item x="50"/>
        <item x="51"/>
        <item t="default"/>
      </items>
    </pivotField>
    <pivotField axis="axisCol" showAll="0">
      <items count="4">
        <item x="0"/>
        <item x="1"/>
        <item x="2"/>
        <item t="default"/>
      </items>
    </pivotField>
    <pivotField dataField="1" showAll="0"/>
  </pivotFields>
  <rowFields count="2">
    <field x="1"/>
    <field x="0"/>
  </rowFields>
  <rowItems count="26">
    <i>
      <x v="49"/>
    </i>
    <i r="1">
      <x/>
    </i>
    <i r="1">
      <x v="1"/>
    </i>
    <i r="1">
      <x v="2"/>
    </i>
    <i r="1">
      <x v="3"/>
    </i>
    <i>
      <x v="50"/>
    </i>
    <i r="1">
      <x/>
    </i>
    <i r="1">
      <x v="1"/>
    </i>
    <i r="1">
      <x v="2"/>
    </i>
    <i r="1">
      <x v="3"/>
    </i>
    <i>
      <x v="51"/>
    </i>
    <i r="1">
      <x/>
    </i>
    <i r="1">
      <x v="1"/>
    </i>
    <i r="1">
      <x v="2"/>
    </i>
    <i r="1">
      <x v="3"/>
    </i>
    <i>
      <x v="52"/>
    </i>
    <i r="1">
      <x/>
    </i>
    <i r="1">
      <x v="1"/>
    </i>
    <i r="1">
      <x v="2"/>
    </i>
    <i r="1">
      <x v="3"/>
    </i>
    <i>
      <x v="53"/>
    </i>
    <i r="1">
      <x/>
    </i>
    <i r="1">
      <x v="1"/>
    </i>
    <i r="1">
      <x v="2"/>
    </i>
    <i r="1">
      <x v="3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合計 / Hrs" fld="3" baseField="0" baseItem="0"/>
  </dataFields>
  <formats count="3">
    <format dxfId="2">
      <pivotArea type="origin" dataOnly="0" labelOnly="1" outline="0" fieldPosition="0"/>
    </format>
    <format dxfId="1">
      <pivotArea field="1" type="button" dataOnly="0" labelOnly="1" outline="0" axis="axisRow" fieldPosition="0"/>
    </format>
    <format dxfId="0">
      <pivotArea dataOnly="0" labelOnly="1" grandRow="1" outline="0" fieldPosition="0"/>
    </format>
  </formats>
  <chartFormats count="8"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D169" totalsRowShown="0">
  <autoFilter ref="A1:D169"/>
  <tableColumns count="4">
    <tableColumn id="1" name="Name"/>
    <tableColumn id="2" name="Date" dataDxfId="3"/>
    <tableColumn id="3" name="Category"/>
    <tableColumn id="4" name="H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69"/>
  <sheetViews>
    <sheetView topLeftCell="A22" workbookViewId="0">
      <selection activeCell="L16" sqref="L16"/>
    </sheetView>
  </sheetViews>
  <sheetFormatPr defaultRowHeight="13.5" x14ac:dyDescent="0.15"/>
  <cols>
    <col min="3" max="3" width="10.875" customWidth="1"/>
  </cols>
  <sheetData>
    <row r="1" spans="1:4" x14ac:dyDescent="0.15">
      <c r="A1" t="s">
        <v>51</v>
      </c>
      <c r="B1" t="s">
        <v>20</v>
      </c>
      <c r="C1" t="s">
        <v>52</v>
      </c>
      <c r="D1" t="s">
        <v>53</v>
      </c>
    </row>
    <row r="2" spans="1:4" x14ac:dyDescent="0.15">
      <c r="A2" t="s">
        <v>47</v>
      </c>
      <c r="B2" s="5">
        <v>43521</v>
      </c>
      <c r="C2" t="s">
        <v>2</v>
      </c>
      <c r="D2">
        <v>7</v>
      </c>
    </row>
    <row r="3" spans="1:4" x14ac:dyDescent="0.15">
      <c r="A3" t="s">
        <v>6</v>
      </c>
      <c r="B3" s="5">
        <v>43600</v>
      </c>
      <c r="C3" t="s">
        <v>2</v>
      </c>
      <c r="D3">
        <v>1.75</v>
      </c>
    </row>
    <row r="4" spans="1:4" x14ac:dyDescent="0.15">
      <c r="A4" t="s">
        <v>47</v>
      </c>
      <c r="B4" s="5">
        <v>43522</v>
      </c>
      <c r="C4" t="s">
        <v>2</v>
      </c>
      <c r="D4">
        <v>6.7</v>
      </c>
    </row>
    <row r="5" spans="1:4" x14ac:dyDescent="0.15">
      <c r="A5" t="s">
        <v>47</v>
      </c>
      <c r="B5" s="5">
        <v>43600</v>
      </c>
      <c r="C5" t="s">
        <v>2</v>
      </c>
      <c r="D5">
        <v>2</v>
      </c>
    </row>
    <row r="6" spans="1:4" x14ac:dyDescent="0.15">
      <c r="A6" t="s">
        <v>47</v>
      </c>
      <c r="B6" s="5">
        <v>43523</v>
      </c>
      <c r="C6" t="s">
        <v>2</v>
      </c>
      <c r="D6">
        <v>4</v>
      </c>
    </row>
    <row r="7" spans="1:4" x14ac:dyDescent="0.15">
      <c r="A7" t="s">
        <v>0</v>
      </c>
      <c r="B7" s="5">
        <v>43598</v>
      </c>
      <c r="C7" t="s">
        <v>2</v>
      </c>
      <c r="D7">
        <v>7</v>
      </c>
    </row>
    <row r="8" spans="1:4" x14ac:dyDescent="0.15">
      <c r="A8" t="s">
        <v>47</v>
      </c>
      <c r="B8" s="5">
        <v>43524</v>
      </c>
      <c r="C8" t="s">
        <v>2</v>
      </c>
      <c r="D8">
        <v>4</v>
      </c>
    </row>
    <row r="9" spans="1:4" x14ac:dyDescent="0.15">
      <c r="A9" t="s">
        <v>0</v>
      </c>
      <c r="B9" s="5">
        <v>43595</v>
      </c>
      <c r="C9" t="s">
        <v>2</v>
      </c>
      <c r="D9">
        <v>4.75</v>
      </c>
    </row>
    <row r="10" spans="1:4" x14ac:dyDescent="0.15">
      <c r="A10" t="s">
        <v>47</v>
      </c>
      <c r="B10" s="5">
        <v>43525</v>
      </c>
      <c r="C10" t="s">
        <v>2</v>
      </c>
      <c r="D10">
        <v>1</v>
      </c>
    </row>
    <row r="11" spans="1:4" x14ac:dyDescent="0.15">
      <c r="A11" t="s">
        <v>0</v>
      </c>
      <c r="B11" s="5">
        <v>43573</v>
      </c>
      <c r="C11" t="s">
        <v>2</v>
      </c>
    </row>
    <row r="12" spans="1:4" x14ac:dyDescent="0.15">
      <c r="A12" t="s">
        <v>47</v>
      </c>
      <c r="B12" s="5">
        <v>43528</v>
      </c>
      <c r="C12" t="s">
        <v>2</v>
      </c>
      <c r="D12">
        <v>6</v>
      </c>
    </row>
    <row r="13" spans="1:4" x14ac:dyDescent="0.15">
      <c r="A13" t="s">
        <v>0</v>
      </c>
      <c r="B13" s="5">
        <v>43572</v>
      </c>
      <c r="C13" t="s">
        <v>2</v>
      </c>
    </row>
    <row r="14" spans="1:4" x14ac:dyDescent="0.15">
      <c r="A14" t="s">
        <v>47</v>
      </c>
      <c r="B14" s="5">
        <v>43529</v>
      </c>
      <c r="C14" t="s">
        <v>2</v>
      </c>
      <c r="D14">
        <v>6.8</v>
      </c>
    </row>
    <row r="15" spans="1:4" x14ac:dyDescent="0.15">
      <c r="A15" t="s">
        <v>0</v>
      </c>
      <c r="B15" s="5">
        <v>43571</v>
      </c>
      <c r="C15" t="s">
        <v>2</v>
      </c>
      <c r="D15">
        <v>7</v>
      </c>
    </row>
    <row r="16" spans="1:4" x14ac:dyDescent="0.15">
      <c r="A16" t="s">
        <v>47</v>
      </c>
      <c r="B16" s="5">
        <v>43530</v>
      </c>
      <c r="C16" t="s">
        <v>2</v>
      </c>
      <c r="D16">
        <v>2</v>
      </c>
    </row>
    <row r="17" spans="1:4" x14ac:dyDescent="0.15">
      <c r="A17" t="s">
        <v>0</v>
      </c>
      <c r="B17" s="5">
        <v>43570</v>
      </c>
      <c r="C17" t="s">
        <v>2</v>
      </c>
      <c r="D17">
        <v>5.5</v>
      </c>
    </row>
    <row r="18" spans="1:4" x14ac:dyDescent="0.15">
      <c r="A18" t="s">
        <v>47</v>
      </c>
      <c r="B18" s="5">
        <v>43531</v>
      </c>
      <c r="C18" t="s">
        <v>2</v>
      </c>
      <c r="D18">
        <v>4.8</v>
      </c>
    </row>
    <row r="19" spans="1:4" x14ac:dyDescent="0.15">
      <c r="A19" t="s">
        <v>0</v>
      </c>
      <c r="B19" s="5">
        <v>43567</v>
      </c>
      <c r="C19" t="s">
        <v>2</v>
      </c>
      <c r="D19">
        <v>4.5</v>
      </c>
    </row>
    <row r="20" spans="1:4" x14ac:dyDescent="0.15">
      <c r="A20" t="s">
        <v>47</v>
      </c>
      <c r="B20" s="5">
        <v>43532</v>
      </c>
      <c r="C20" t="s">
        <v>2</v>
      </c>
      <c r="D20">
        <v>4</v>
      </c>
    </row>
    <row r="21" spans="1:4" x14ac:dyDescent="0.15">
      <c r="A21" t="s">
        <v>0</v>
      </c>
      <c r="B21" s="5">
        <v>43566</v>
      </c>
      <c r="C21" t="s">
        <v>2</v>
      </c>
      <c r="D21">
        <v>6.75</v>
      </c>
    </row>
    <row r="22" spans="1:4" x14ac:dyDescent="0.15">
      <c r="A22" t="s">
        <v>47</v>
      </c>
      <c r="B22" s="5">
        <v>43535</v>
      </c>
      <c r="C22" t="s">
        <v>2</v>
      </c>
      <c r="D22">
        <v>5</v>
      </c>
    </row>
    <row r="23" spans="1:4" x14ac:dyDescent="0.15">
      <c r="A23" t="s">
        <v>0</v>
      </c>
      <c r="B23" s="5">
        <v>43565</v>
      </c>
      <c r="C23" t="s">
        <v>2</v>
      </c>
      <c r="D23">
        <v>5.25</v>
      </c>
    </row>
    <row r="24" spans="1:4" x14ac:dyDescent="0.15">
      <c r="A24" t="s">
        <v>47</v>
      </c>
      <c r="B24" s="5">
        <v>43536</v>
      </c>
      <c r="C24" t="s">
        <v>2</v>
      </c>
      <c r="D24">
        <v>6.5</v>
      </c>
    </row>
    <row r="25" spans="1:4" x14ac:dyDescent="0.15">
      <c r="A25" t="s">
        <v>0</v>
      </c>
      <c r="B25" s="5">
        <v>43564</v>
      </c>
      <c r="C25" t="s">
        <v>2</v>
      </c>
    </row>
    <row r="26" spans="1:4" x14ac:dyDescent="0.15">
      <c r="A26" t="s">
        <v>47</v>
      </c>
      <c r="B26" s="5">
        <v>43537</v>
      </c>
      <c r="C26" t="s">
        <v>2</v>
      </c>
      <c r="D26">
        <v>7.5</v>
      </c>
    </row>
    <row r="27" spans="1:4" x14ac:dyDescent="0.15">
      <c r="A27" t="s">
        <v>0</v>
      </c>
      <c r="B27" s="5">
        <v>43563</v>
      </c>
      <c r="C27" t="s">
        <v>2</v>
      </c>
      <c r="D27">
        <v>5.5</v>
      </c>
    </row>
    <row r="28" spans="1:4" x14ac:dyDescent="0.15">
      <c r="A28" t="s">
        <v>47</v>
      </c>
      <c r="B28" s="5">
        <v>43538</v>
      </c>
      <c r="C28" t="s">
        <v>2</v>
      </c>
      <c r="D28">
        <v>7</v>
      </c>
    </row>
    <row r="29" spans="1:4" x14ac:dyDescent="0.15">
      <c r="A29" t="s">
        <v>0</v>
      </c>
      <c r="B29" s="5">
        <v>43560</v>
      </c>
      <c r="C29" t="s">
        <v>2</v>
      </c>
      <c r="D29">
        <v>6</v>
      </c>
    </row>
    <row r="30" spans="1:4" x14ac:dyDescent="0.15">
      <c r="A30" t="s">
        <v>47</v>
      </c>
      <c r="B30" s="5">
        <v>43539</v>
      </c>
      <c r="C30" t="s">
        <v>2</v>
      </c>
      <c r="D30">
        <v>5.5</v>
      </c>
    </row>
    <row r="31" spans="1:4" x14ac:dyDescent="0.15">
      <c r="A31" t="s">
        <v>0</v>
      </c>
      <c r="B31" s="5">
        <v>43559</v>
      </c>
      <c r="C31" t="s">
        <v>2</v>
      </c>
      <c r="D31">
        <v>7.25</v>
      </c>
    </row>
    <row r="32" spans="1:4" x14ac:dyDescent="0.15">
      <c r="A32" t="s">
        <v>47</v>
      </c>
      <c r="B32" s="5">
        <v>43542</v>
      </c>
      <c r="C32" t="s">
        <v>2</v>
      </c>
      <c r="D32">
        <v>6.5</v>
      </c>
    </row>
    <row r="33" spans="1:4" x14ac:dyDescent="0.15">
      <c r="A33" t="s">
        <v>0</v>
      </c>
      <c r="B33" s="5">
        <v>43558</v>
      </c>
      <c r="C33" t="s">
        <v>2</v>
      </c>
      <c r="D33">
        <v>8.75</v>
      </c>
    </row>
    <row r="34" spans="1:4" x14ac:dyDescent="0.15">
      <c r="A34" t="s">
        <v>47</v>
      </c>
      <c r="B34" s="5">
        <v>43543</v>
      </c>
      <c r="C34" t="s">
        <v>2</v>
      </c>
      <c r="D34">
        <v>6.5</v>
      </c>
    </row>
    <row r="35" spans="1:4" x14ac:dyDescent="0.15">
      <c r="A35" t="s">
        <v>0</v>
      </c>
      <c r="B35" s="5">
        <v>43557</v>
      </c>
      <c r="C35" t="s">
        <v>2</v>
      </c>
      <c r="D35">
        <v>5.25</v>
      </c>
    </row>
    <row r="36" spans="1:4" x14ac:dyDescent="0.15">
      <c r="A36" t="s">
        <v>47</v>
      </c>
      <c r="B36" s="5">
        <v>43544</v>
      </c>
      <c r="C36" t="s">
        <v>2</v>
      </c>
      <c r="D36">
        <v>7</v>
      </c>
    </row>
    <row r="37" spans="1:4" x14ac:dyDescent="0.15">
      <c r="A37" t="s">
        <v>0</v>
      </c>
      <c r="B37" s="5">
        <v>43556</v>
      </c>
      <c r="C37" t="s">
        <v>2</v>
      </c>
      <c r="D37">
        <v>5.5</v>
      </c>
    </row>
    <row r="38" spans="1:4" x14ac:dyDescent="0.15">
      <c r="A38" t="s">
        <v>47</v>
      </c>
      <c r="B38" s="5">
        <v>43545</v>
      </c>
      <c r="C38" t="s">
        <v>2</v>
      </c>
      <c r="D38">
        <v>4.5</v>
      </c>
    </row>
    <row r="39" spans="1:4" x14ac:dyDescent="0.15">
      <c r="A39" t="s">
        <v>0</v>
      </c>
      <c r="B39" s="5">
        <v>43553</v>
      </c>
      <c r="C39" t="s">
        <v>2</v>
      </c>
      <c r="D39">
        <v>4.5</v>
      </c>
    </row>
    <row r="40" spans="1:4" x14ac:dyDescent="0.15">
      <c r="A40" t="s">
        <v>47</v>
      </c>
      <c r="B40" s="5">
        <v>43546</v>
      </c>
      <c r="C40" t="s">
        <v>2</v>
      </c>
      <c r="D40">
        <v>1.5</v>
      </c>
    </row>
    <row r="41" spans="1:4" x14ac:dyDescent="0.15">
      <c r="A41" t="s">
        <v>0</v>
      </c>
      <c r="B41" s="5">
        <v>43552</v>
      </c>
      <c r="C41" t="s">
        <v>2</v>
      </c>
      <c r="D41">
        <v>7.15</v>
      </c>
    </row>
    <row r="42" spans="1:4" x14ac:dyDescent="0.15">
      <c r="A42" t="s">
        <v>47</v>
      </c>
      <c r="B42" s="5">
        <v>43549</v>
      </c>
      <c r="C42" t="s">
        <v>2</v>
      </c>
      <c r="D42">
        <v>9</v>
      </c>
    </row>
    <row r="43" spans="1:4" x14ac:dyDescent="0.15">
      <c r="A43" t="s">
        <v>0</v>
      </c>
      <c r="B43" s="5">
        <v>43551</v>
      </c>
      <c r="C43" t="s">
        <v>2</v>
      </c>
      <c r="D43">
        <v>3.5</v>
      </c>
    </row>
    <row r="44" spans="1:4" x14ac:dyDescent="0.15">
      <c r="A44" t="s">
        <v>47</v>
      </c>
      <c r="B44" s="5">
        <v>43550</v>
      </c>
      <c r="C44" t="s">
        <v>2</v>
      </c>
      <c r="D44">
        <v>4</v>
      </c>
    </row>
    <row r="45" spans="1:4" x14ac:dyDescent="0.15">
      <c r="A45" t="s">
        <v>0</v>
      </c>
      <c r="B45" s="5">
        <v>43550</v>
      </c>
      <c r="C45" t="s">
        <v>2</v>
      </c>
      <c r="D45">
        <v>2</v>
      </c>
    </row>
    <row r="46" spans="1:4" x14ac:dyDescent="0.15">
      <c r="A46" t="s">
        <v>47</v>
      </c>
      <c r="B46" s="5">
        <v>43551</v>
      </c>
      <c r="C46" t="s">
        <v>2</v>
      </c>
      <c r="D46">
        <v>5.75</v>
      </c>
    </row>
    <row r="47" spans="1:4" x14ac:dyDescent="0.15">
      <c r="A47" t="s">
        <v>0</v>
      </c>
      <c r="B47" s="5">
        <v>43549</v>
      </c>
      <c r="C47" t="s">
        <v>2</v>
      </c>
      <c r="D47">
        <v>5.75</v>
      </c>
    </row>
    <row r="48" spans="1:4" x14ac:dyDescent="0.15">
      <c r="A48" t="s">
        <v>47</v>
      </c>
      <c r="B48" s="5">
        <v>43552</v>
      </c>
      <c r="C48" t="s">
        <v>2</v>
      </c>
      <c r="D48">
        <v>6.25</v>
      </c>
    </row>
    <row r="49" spans="1:4" x14ac:dyDescent="0.15">
      <c r="A49" t="s">
        <v>0</v>
      </c>
      <c r="B49" s="5">
        <v>43546</v>
      </c>
      <c r="C49" t="s">
        <v>2</v>
      </c>
      <c r="D49">
        <v>5</v>
      </c>
    </row>
    <row r="50" spans="1:4" x14ac:dyDescent="0.15">
      <c r="A50" t="s">
        <v>47</v>
      </c>
      <c r="B50" s="5">
        <v>43553</v>
      </c>
      <c r="C50" t="s">
        <v>2</v>
      </c>
      <c r="D50">
        <v>4</v>
      </c>
    </row>
    <row r="51" spans="1:4" x14ac:dyDescent="0.15">
      <c r="A51" t="s">
        <v>0</v>
      </c>
      <c r="B51" s="5">
        <v>43545</v>
      </c>
      <c r="C51" t="s">
        <v>2</v>
      </c>
      <c r="D51">
        <v>7</v>
      </c>
    </row>
    <row r="52" spans="1:4" x14ac:dyDescent="0.15">
      <c r="A52" t="s">
        <v>47</v>
      </c>
      <c r="B52" s="5">
        <v>43556</v>
      </c>
      <c r="C52" t="s">
        <v>2</v>
      </c>
      <c r="D52">
        <v>5</v>
      </c>
    </row>
    <row r="53" spans="1:4" x14ac:dyDescent="0.15">
      <c r="A53" t="s">
        <v>0</v>
      </c>
      <c r="B53" s="5">
        <v>43544</v>
      </c>
      <c r="C53" t="s">
        <v>2</v>
      </c>
      <c r="D53">
        <v>7.5</v>
      </c>
    </row>
    <row r="54" spans="1:4" x14ac:dyDescent="0.15">
      <c r="A54" t="s">
        <v>47</v>
      </c>
      <c r="B54" s="5">
        <v>43557</v>
      </c>
      <c r="C54" t="s">
        <v>2</v>
      </c>
      <c r="D54">
        <v>6</v>
      </c>
    </row>
    <row r="55" spans="1:4" x14ac:dyDescent="0.15">
      <c r="A55" t="s">
        <v>0</v>
      </c>
      <c r="B55" s="5">
        <v>43543</v>
      </c>
      <c r="C55" t="s">
        <v>2</v>
      </c>
      <c r="D55">
        <v>5</v>
      </c>
    </row>
    <row r="56" spans="1:4" x14ac:dyDescent="0.15">
      <c r="A56" t="s">
        <v>47</v>
      </c>
      <c r="B56" s="5">
        <v>43558</v>
      </c>
      <c r="C56" t="s">
        <v>2</v>
      </c>
      <c r="D56">
        <v>5.75</v>
      </c>
    </row>
    <row r="57" spans="1:4" x14ac:dyDescent="0.15">
      <c r="A57" t="s">
        <v>0</v>
      </c>
      <c r="B57" s="5">
        <v>43542</v>
      </c>
      <c r="C57" t="s">
        <v>2</v>
      </c>
      <c r="D57">
        <v>6</v>
      </c>
    </row>
    <row r="58" spans="1:4" x14ac:dyDescent="0.15">
      <c r="A58" t="s">
        <v>47</v>
      </c>
      <c r="B58" s="5">
        <v>43559</v>
      </c>
      <c r="C58" t="s">
        <v>2</v>
      </c>
      <c r="D58">
        <v>5.75</v>
      </c>
    </row>
    <row r="59" spans="1:4" x14ac:dyDescent="0.15">
      <c r="A59" t="s">
        <v>0</v>
      </c>
      <c r="B59" s="5">
        <v>43539</v>
      </c>
      <c r="C59" t="s">
        <v>2</v>
      </c>
    </row>
    <row r="60" spans="1:4" x14ac:dyDescent="0.15">
      <c r="A60" t="s">
        <v>47</v>
      </c>
      <c r="B60" s="5">
        <v>43560</v>
      </c>
      <c r="C60" t="s">
        <v>2</v>
      </c>
    </row>
    <row r="61" spans="1:4" x14ac:dyDescent="0.15">
      <c r="A61" t="s">
        <v>0</v>
      </c>
      <c r="B61" s="5">
        <v>43538</v>
      </c>
      <c r="C61" t="s">
        <v>2</v>
      </c>
    </row>
    <row r="62" spans="1:4" x14ac:dyDescent="0.15">
      <c r="A62" t="s">
        <v>47</v>
      </c>
      <c r="B62" s="5">
        <v>43563</v>
      </c>
      <c r="C62" t="s">
        <v>2</v>
      </c>
    </row>
    <row r="63" spans="1:4" x14ac:dyDescent="0.15">
      <c r="A63" t="s">
        <v>0</v>
      </c>
      <c r="B63" s="5">
        <v>43537</v>
      </c>
      <c r="C63" t="s">
        <v>2</v>
      </c>
      <c r="D63">
        <v>3.5</v>
      </c>
    </row>
    <row r="64" spans="1:4" x14ac:dyDescent="0.15">
      <c r="A64" t="s">
        <v>47</v>
      </c>
      <c r="B64" s="5">
        <v>43564</v>
      </c>
      <c r="C64" t="s">
        <v>2</v>
      </c>
    </row>
    <row r="65" spans="1:4" x14ac:dyDescent="0.15">
      <c r="A65" t="s">
        <v>0</v>
      </c>
      <c r="B65" s="5">
        <v>43536</v>
      </c>
      <c r="C65" t="s">
        <v>2</v>
      </c>
      <c r="D65">
        <v>5.25</v>
      </c>
    </row>
    <row r="66" spans="1:4" x14ac:dyDescent="0.15">
      <c r="A66" t="s">
        <v>47</v>
      </c>
      <c r="B66" s="5">
        <v>43565</v>
      </c>
      <c r="C66" t="s">
        <v>2</v>
      </c>
      <c r="D66">
        <v>3.75</v>
      </c>
    </row>
    <row r="67" spans="1:4" x14ac:dyDescent="0.15">
      <c r="A67" t="s">
        <v>0</v>
      </c>
      <c r="B67" s="5">
        <v>43535</v>
      </c>
      <c r="C67" t="s">
        <v>2</v>
      </c>
      <c r="D67">
        <v>5.5</v>
      </c>
    </row>
    <row r="68" spans="1:4" x14ac:dyDescent="0.15">
      <c r="A68" t="s">
        <v>47</v>
      </c>
      <c r="B68" s="5">
        <v>43566</v>
      </c>
      <c r="C68" t="s">
        <v>2</v>
      </c>
      <c r="D68">
        <v>3.5</v>
      </c>
    </row>
    <row r="69" spans="1:4" x14ac:dyDescent="0.15">
      <c r="A69" t="s">
        <v>0</v>
      </c>
      <c r="B69" s="5">
        <v>43532</v>
      </c>
      <c r="C69" t="s">
        <v>2</v>
      </c>
      <c r="D69">
        <v>7</v>
      </c>
    </row>
    <row r="70" spans="1:4" x14ac:dyDescent="0.15">
      <c r="A70" t="s">
        <v>47</v>
      </c>
      <c r="B70" s="5">
        <v>43567</v>
      </c>
      <c r="C70" t="s">
        <v>2</v>
      </c>
      <c r="D70">
        <v>3</v>
      </c>
    </row>
    <row r="71" spans="1:4" x14ac:dyDescent="0.15">
      <c r="A71" t="s">
        <v>0</v>
      </c>
      <c r="B71" s="5">
        <v>43531</v>
      </c>
      <c r="C71" t="s">
        <v>2</v>
      </c>
      <c r="D71">
        <v>0</v>
      </c>
    </row>
    <row r="72" spans="1:4" x14ac:dyDescent="0.15">
      <c r="A72" t="s">
        <v>47</v>
      </c>
      <c r="B72" s="5">
        <v>43570</v>
      </c>
      <c r="C72" t="s">
        <v>2</v>
      </c>
      <c r="D72">
        <v>5.5</v>
      </c>
    </row>
    <row r="73" spans="1:4" x14ac:dyDescent="0.15">
      <c r="A73" t="s">
        <v>0</v>
      </c>
      <c r="B73" s="5">
        <v>43530</v>
      </c>
      <c r="C73" t="s">
        <v>2</v>
      </c>
      <c r="D73">
        <v>5</v>
      </c>
    </row>
    <row r="74" spans="1:4" x14ac:dyDescent="0.15">
      <c r="A74" t="s">
        <v>47</v>
      </c>
      <c r="B74" s="5">
        <v>43571</v>
      </c>
      <c r="C74" t="s">
        <v>2</v>
      </c>
      <c r="D74">
        <v>5.5</v>
      </c>
    </row>
    <row r="75" spans="1:4" x14ac:dyDescent="0.15">
      <c r="A75" t="s">
        <v>0</v>
      </c>
      <c r="B75" s="5">
        <v>43529</v>
      </c>
      <c r="C75" t="s">
        <v>2</v>
      </c>
      <c r="D75">
        <v>6</v>
      </c>
    </row>
    <row r="76" spans="1:4" x14ac:dyDescent="0.15">
      <c r="A76" t="s">
        <v>47</v>
      </c>
      <c r="B76" s="5">
        <v>43572</v>
      </c>
      <c r="C76" t="s">
        <v>2</v>
      </c>
    </row>
    <row r="77" spans="1:4" x14ac:dyDescent="0.15">
      <c r="A77" t="s">
        <v>0</v>
      </c>
      <c r="B77" s="5">
        <v>43528</v>
      </c>
      <c r="C77" t="s">
        <v>2</v>
      </c>
      <c r="D77">
        <v>6</v>
      </c>
    </row>
    <row r="78" spans="1:4" x14ac:dyDescent="0.15">
      <c r="A78" t="s">
        <v>47</v>
      </c>
      <c r="B78" s="5">
        <v>43573</v>
      </c>
      <c r="C78" t="s">
        <v>2</v>
      </c>
    </row>
    <row r="79" spans="1:4" x14ac:dyDescent="0.15">
      <c r="A79" t="s">
        <v>0</v>
      </c>
      <c r="B79" s="5">
        <v>43525</v>
      </c>
      <c r="C79" t="s">
        <v>2</v>
      </c>
      <c r="D79">
        <v>3</v>
      </c>
    </row>
    <row r="80" spans="1:4" x14ac:dyDescent="0.15">
      <c r="A80" t="s">
        <v>47</v>
      </c>
      <c r="B80" s="5">
        <v>43599</v>
      </c>
      <c r="C80" t="s">
        <v>2</v>
      </c>
      <c r="D80">
        <v>1.25</v>
      </c>
    </row>
    <row r="81" spans="1:4" x14ac:dyDescent="0.15">
      <c r="A81" t="s">
        <v>0</v>
      </c>
      <c r="B81" s="5">
        <v>43524</v>
      </c>
      <c r="C81" t="s">
        <v>2</v>
      </c>
      <c r="D81">
        <v>3</v>
      </c>
    </row>
    <row r="82" spans="1:4" x14ac:dyDescent="0.15">
      <c r="A82" t="s">
        <v>6</v>
      </c>
      <c r="B82" s="5">
        <v>43521</v>
      </c>
      <c r="C82" t="s">
        <v>2</v>
      </c>
      <c r="D82">
        <v>0</v>
      </c>
    </row>
    <row r="83" spans="1:4" x14ac:dyDescent="0.15">
      <c r="A83" t="s">
        <v>0</v>
      </c>
      <c r="B83" s="5">
        <v>43523</v>
      </c>
      <c r="C83" t="s">
        <v>2</v>
      </c>
      <c r="D83">
        <v>0.3</v>
      </c>
    </row>
    <row r="84" spans="1:4" x14ac:dyDescent="0.15">
      <c r="A84" t="s">
        <v>6</v>
      </c>
      <c r="B84" s="5">
        <v>43522</v>
      </c>
      <c r="C84" t="s">
        <v>2</v>
      </c>
      <c r="D84">
        <v>5.5</v>
      </c>
    </row>
    <row r="85" spans="1:4" x14ac:dyDescent="0.15">
      <c r="A85" t="s">
        <v>0</v>
      </c>
      <c r="B85" s="5">
        <v>43522</v>
      </c>
      <c r="C85" t="s">
        <v>2</v>
      </c>
      <c r="D85">
        <v>5.5</v>
      </c>
    </row>
    <row r="86" spans="1:4" x14ac:dyDescent="0.15">
      <c r="A86" t="s">
        <v>6</v>
      </c>
      <c r="B86" s="5">
        <v>43523</v>
      </c>
      <c r="C86" t="s">
        <v>2</v>
      </c>
      <c r="D86">
        <v>3</v>
      </c>
    </row>
    <row r="87" spans="1:4" x14ac:dyDescent="0.15">
      <c r="A87" t="s">
        <v>0</v>
      </c>
      <c r="B87" s="5">
        <v>43521</v>
      </c>
      <c r="C87" t="s">
        <v>2</v>
      </c>
      <c r="D87">
        <v>0</v>
      </c>
    </row>
    <row r="88" spans="1:4" x14ac:dyDescent="0.15">
      <c r="A88" t="s">
        <v>6</v>
      </c>
      <c r="B88" s="5">
        <v>43524</v>
      </c>
      <c r="C88" t="s">
        <v>2</v>
      </c>
      <c r="D88">
        <v>5</v>
      </c>
    </row>
    <row r="89" spans="1:4" x14ac:dyDescent="0.15">
      <c r="A89" t="s">
        <v>8</v>
      </c>
      <c r="B89" s="5">
        <v>43598</v>
      </c>
      <c r="C89" t="s">
        <v>2</v>
      </c>
      <c r="D89">
        <v>5</v>
      </c>
    </row>
    <row r="90" spans="1:4" x14ac:dyDescent="0.15">
      <c r="A90" t="s">
        <v>6</v>
      </c>
      <c r="B90" s="5">
        <v>43525</v>
      </c>
      <c r="C90" t="s">
        <v>2</v>
      </c>
      <c r="D90">
        <v>3.8</v>
      </c>
    </row>
    <row r="91" spans="1:4" x14ac:dyDescent="0.15">
      <c r="A91" t="s">
        <v>8</v>
      </c>
      <c r="B91" s="5">
        <v>43595</v>
      </c>
      <c r="C91" t="s">
        <v>2</v>
      </c>
      <c r="D91">
        <v>5.25</v>
      </c>
    </row>
    <row r="92" spans="1:4" x14ac:dyDescent="0.15">
      <c r="A92" t="s">
        <v>6</v>
      </c>
      <c r="B92" s="5">
        <v>43528</v>
      </c>
      <c r="C92" t="s">
        <v>2</v>
      </c>
      <c r="D92">
        <v>4.5</v>
      </c>
    </row>
    <row r="93" spans="1:4" x14ac:dyDescent="0.15">
      <c r="A93" t="s">
        <v>8</v>
      </c>
      <c r="B93" s="5">
        <v>43592</v>
      </c>
      <c r="C93" t="s">
        <v>2</v>
      </c>
      <c r="D93">
        <v>7</v>
      </c>
    </row>
    <row r="94" spans="1:4" x14ac:dyDescent="0.15">
      <c r="A94" t="s">
        <v>6</v>
      </c>
      <c r="B94" s="5">
        <v>43529</v>
      </c>
      <c r="C94" t="s">
        <v>2</v>
      </c>
      <c r="D94">
        <v>5.5</v>
      </c>
    </row>
    <row r="95" spans="1:4" x14ac:dyDescent="0.15">
      <c r="A95" t="s">
        <v>8</v>
      </c>
      <c r="B95" s="5">
        <v>43573</v>
      </c>
      <c r="C95" t="s">
        <v>2</v>
      </c>
    </row>
    <row r="96" spans="1:4" x14ac:dyDescent="0.15">
      <c r="A96" t="s">
        <v>6</v>
      </c>
      <c r="B96" s="5">
        <v>43530</v>
      </c>
      <c r="C96" t="s">
        <v>2</v>
      </c>
      <c r="D96">
        <v>6.2</v>
      </c>
    </row>
    <row r="97" spans="1:4" x14ac:dyDescent="0.15">
      <c r="A97" t="s">
        <v>8</v>
      </c>
      <c r="B97" s="5">
        <v>43572</v>
      </c>
      <c r="C97" t="s">
        <v>2</v>
      </c>
    </row>
    <row r="98" spans="1:4" x14ac:dyDescent="0.15">
      <c r="A98" t="s">
        <v>6</v>
      </c>
      <c r="B98" s="5">
        <v>43531</v>
      </c>
      <c r="C98" t="s">
        <v>2</v>
      </c>
      <c r="D98">
        <v>3</v>
      </c>
    </row>
    <row r="99" spans="1:4" x14ac:dyDescent="0.15">
      <c r="A99" t="s">
        <v>8</v>
      </c>
      <c r="B99" s="5">
        <v>43571</v>
      </c>
      <c r="C99" t="s">
        <v>2</v>
      </c>
      <c r="D99">
        <v>5.4</v>
      </c>
    </row>
    <row r="100" spans="1:4" x14ac:dyDescent="0.15">
      <c r="A100" t="s">
        <v>6</v>
      </c>
      <c r="B100" s="5">
        <v>43532</v>
      </c>
      <c r="C100" t="s">
        <v>2</v>
      </c>
      <c r="D100">
        <v>4.5</v>
      </c>
    </row>
    <row r="101" spans="1:4" x14ac:dyDescent="0.15">
      <c r="A101" t="s">
        <v>8</v>
      </c>
      <c r="B101" s="5">
        <v>43570</v>
      </c>
      <c r="C101" t="s">
        <v>2</v>
      </c>
      <c r="D101">
        <v>5.2</v>
      </c>
    </row>
    <row r="102" spans="1:4" x14ac:dyDescent="0.15">
      <c r="A102" t="s">
        <v>6</v>
      </c>
      <c r="B102" s="5">
        <v>43535</v>
      </c>
      <c r="C102" t="s">
        <v>2</v>
      </c>
      <c r="D102">
        <v>3</v>
      </c>
    </row>
    <row r="103" spans="1:4" x14ac:dyDescent="0.15">
      <c r="A103" t="s">
        <v>8</v>
      </c>
      <c r="B103" s="5">
        <v>43567</v>
      </c>
      <c r="C103" t="s">
        <v>2</v>
      </c>
      <c r="D103">
        <v>5.4</v>
      </c>
    </row>
    <row r="104" spans="1:4" x14ac:dyDescent="0.15">
      <c r="A104" t="s">
        <v>6</v>
      </c>
      <c r="B104" s="5">
        <v>43536</v>
      </c>
      <c r="C104" t="s">
        <v>2</v>
      </c>
      <c r="D104">
        <v>6</v>
      </c>
    </row>
    <row r="105" spans="1:4" x14ac:dyDescent="0.15">
      <c r="A105" t="s">
        <v>8</v>
      </c>
      <c r="B105" s="5">
        <v>43566</v>
      </c>
      <c r="C105" t="s">
        <v>2</v>
      </c>
      <c r="D105">
        <v>5.35</v>
      </c>
    </row>
    <row r="106" spans="1:4" x14ac:dyDescent="0.15">
      <c r="A106" t="s">
        <v>6</v>
      </c>
      <c r="B106" s="5">
        <v>43537</v>
      </c>
      <c r="C106" t="s">
        <v>2</v>
      </c>
      <c r="D106">
        <v>5.5</v>
      </c>
    </row>
    <row r="107" spans="1:4" x14ac:dyDescent="0.15">
      <c r="A107" t="s">
        <v>8</v>
      </c>
      <c r="B107" s="5">
        <v>43565</v>
      </c>
      <c r="C107" t="s">
        <v>2</v>
      </c>
      <c r="D107">
        <v>5.25</v>
      </c>
    </row>
    <row r="108" spans="1:4" x14ac:dyDescent="0.15">
      <c r="A108" t="s">
        <v>6</v>
      </c>
      <c r="B108" s="5">
        <v>43538</v>
      </c>
      <c r="C108" t="s">
        <v>2</v>
      </c>
      <c r="D108">
        <v>6.5</v>
      </c>
    </row>
    <row r="109" spans="1:4" x14ac:dyDescent="0.15">
      <c r="A109" t="s">
        <v>8</v>
      </c>
      <c r="B109" s="5">
        <v>43564</v>
      </c>
      <c r="C109" t="s">
        <v>2</v>
      </c>
    </row>
    <row r="110" spans="1:4" x14ac:dyDescent="0.15">
      <c r="A110" t="s">
        <v>6</v>
      </c>
      <c r="B110" s="5">
        <v>43539</v>
      </c>
      <c r="C110" t="s">
        <v>2</v>
      </c>
      <c r="D110">
        <v>5.5</v>
      </c>
    </row>
    <row r="111" spans="1:4" x14ac:dyDescent="0.15">
      <c r="A111" t="s">
        <v>8</v>
      </c>
      <c r="B111" s="5">
        <v>43563</v>
      </c>
      <c r="C111" t="s">
        <v>2</v>
      </c>
      <c r="D111">
        <v>5.5</v>
      </c>
    </row>
    <row r="112" spans="1:4" x14ac:dyDescent="0.15">
      <c r="A112" t="s">
        <v>6</v>
      </c>
      <c r="B112" s="5">
        <v>43542</v>
      </c>
      <c r="C112" t="s">
        <v>2</v>
      </c>
      <c r="D112">
        <v>6</v>
      </c>
    </row>
    <row r="113" spans="1:4" x14ac:dyDescent="0.15">
      <c r="A113" t="s">
        <v>8</v>
      </c>
      <c r="B113" s="5">
        <v>43560</v>
      </c>
      <c r="C113" t="s">
        <v>2</v>
      </c>
      <c r="D113">
        <v>6</v>
      </c>
    </row>
    <row r="114" spans="1:4" x14ac:dyDescent="0.15">
      <c r="A114" t="s">
        <v>6</v>
      </c>
      <c r="B114" s="5">
        <v>43543</v>
      </c>
      <c r="C114" t="s">
        <v>2</v>
      </c>
      <c r="D114">
        <v>5.5</v>
      </c>
    </row>
    <row r="115" spans="1:4" x14ac:dyDescent="0.15">
      <c r="A115" t="s">
        <v>8</v>
      </c>
      <c r="B115" s="5">
        <v>43559</v>
      </c>
      <c r="C115" t="s">
        <v>2</v>
      </c>
      <c r="D115">
        <v>5.5</v>
      </c>
    </row>
    <row r="116" spans="1:4" x14ac:dyDescent="0.15">
      <c r="A116" t="s">
        <v>6</v>
      </c>
      <c r="B116" s="5">
        <v>43544</v>
      </c>
      <c r="C116" t="s">
        <v>2</v>
      </c>
      <c r="D116">
        <v>6</v>
      </c>
    </row>
    <row r="117" spans="1:4" x14ac:dyDescent="0.15">
      <c r="A117" t="s">
        <v>8</v>
      </c>
      <c r="B117" s="5">
        <v>43558</v>
      </c>
      <c r="C117" t="s">
        <v>2</v>
      </c>
      <c r="D117">
        <v>6.5</v>
      </c>
    </row>
    <row r="118" spans="1:4" x14ac:dyDescent="0.15">
      <c r="A118" t="s">
        <v>6</v>
      </c>
      <c r="B118" s="5">
        <v>43545</v>
      </c>
      <c r="C118" t="s">
        <v>2</v>
      </c>
    </row>
    <row r="119" spans="1:4" x14ac:dyDescent="0.15">
      <c r="A119" t="s">
        <v>8</v>
      </c>
      <c r="B119" s="5">
        <v>43557</v>
      </c>
      <c r="C119" t="s">
        <v>2</v>
      </c>
      <c r="D119">
        <v>6</v>
      </c>
    </row>
    <row r="120" spans="1:4" x14ac:dyDescent="0.15">
      <c r="A120" t="s">
        <v>6</v>
      </c>
      <c r="B120" s="5">
        <v>43546</v>
      </c>
      <c r="C120" t="s">
        <v>2</v>
      </c>
    </row>
    <row r="121" spans="1:4" x14ac:dyDescent="0.15">
      <c r="A121" t="s">
        <v>8</v>
      </c>
      <c r="B121" s="5">
        <v>43556</v>
      </c>
      <c r="C121" t="s">
        <v>2</v>
      </c>
      <c r="D121">
        <v>4</v>
      </c>
    </row>
    <row r="122" spans="1:4" x14ac:dyDescent="0.15">
      <c r="A122" t="s">
        <v>6</v>
      </c>
      <c r="B122" s="5">
        <v>43549</v>
      </c>
      <c r="C122" t="s">
        <v>2</v>
      </c>
      <c r="D122">
        <v>5.5</v>
      </c>
    </row>
    <row r="123" spans="1:4" x14ac:dyDescent="0.15">
      <c r="A123" t="s">
        <v>8</v>
      </c>
      <c r="B123" s="5">
        <v>43553</v>
      </c>
      <c r="C123" t="s">
        <v>2</v>
      </c>
      <c r="D123">
        <v>6</v>
      </c>
    </row>
    <row r="124" spans="1:4" x14ac:dyDescent="0.15">
      <c r="A124" t="s">
        <v>6</v>
      </c>
      <c r="B124" s="5">
        <v>43550</v>
      </c>
      <c r="C124" t="s">
        <v>2</v>
      </c>
      <c r="D124">
        <v>2</v>
      </c>
    </row>
    <row r="125" spans="1:4" x14ac:dyDescent="0.15">
      <c r="A125" t="s">
        <v>8</v>
      </c>
      <c r="B125" s="5">
        <v>43552</v>
      </c>
      <c r="C125" t="s">
        <v>2</v>
      </c>
      <c r="D125">
        <v>6</v>
      </c>
    </row>
    <row r="126" spans="1:4" x14ac:dyDescent="0.15">
      <c r="A126" t="s">
        <v>6</v>
      </c>
      <c r="B126" s="5">
        <v>43551</v>
      </c>
      <c r="C126" t="s">
        <v>2</v>
      </c>
      <c r="D126">
        <v>3</v>
      </c>
    </row>
    <row r="127" spans="1:4" x14ac:dyDescent="0.15">
      <c r="A127" t="s">
        <v>8</v>
      </c>
      <c r="B127" s="5">
        <v>43551</v>
      </c>
      <c r="C127" t="s">
        <v>2</v>
      </c>
      <c r="D127">
        <v>6</v>
      </c>
    </row>
    <row r="128" spans="1:4" x14ac:dyDescent="0.15">
      <c r="A128" t="s">
        <v>6</v>
      </c>
      <c r="B128" s="5">
        <v>43552</v>
      </c>
      <c r="C128" t="s">
        <v>2</v>
      </c>
      <c r="D128">
        <v>2.75</v>
      </c>
    </row>
    <row r="129" spans="1:4" x14ac:dyDescent="0.15">
      <c r="A129" t="s">
        <v>8</v>
      </c>
      <c r="B129" s="5">
        <v>43550</v>
      </c>
      <c r="C129" t="s">
        <v>2</v>
      </c>
      <c r="D129">
        <v>5</v>
      </c>
    </row>
    <row r="130" spans="1:4" x14ac:dyDescent="0.15">
      <c r="A130" t="s">
        <v>6</v>
      </c>
      <c r="B130" s="5">
        <v>43553</v>
      </c>
      <c r="C130" t="s">
        <v>2</v>
      </c>
      <c r="D130">
        <v>6</v>
      </c>
    </row>
    <row r="131" spans="1:4" x14ac:dyDescent="0.15">
      <c r="A131" t="s">
        <v>8</v>
      </c>
      <c r="B131" s="5">
        <v>43549</v>
      </c>
      <c r="C131" t="s">
        <v>2</v>
      </c>
      <c r="D131">
        <v>8.25</v>
      </c>
    </row>
    <row r="132" spans="1:4" x14ac:dyDescent="0.15">
      <c r="A132" t="s">
        <v>6</v>
      </c>
      <c r="B132" s="5">
        <v>43556</v>
      </c>
      <c r="C132" t="s">
        <v>2</v>
      </c>
      <c r="D132">
        <v>6</v>
      </c>
    </row>
    <row r="133" spans="1:4" x14ac:dyDescent="0.15">
      <c r="A133" t="s">
        <v>8</v>
      </c>
      <c r="B133" s="5">
        <v>43546</v>
      </c>
      <c r="C133" t="s">
        <v>2</v>
      </c>
    </row>
    <row r="134" spans="1:4" x14ac:dyDescent="0.15">
      <c r="A134" t="s">
        <v>6</v>
      </c>
      <c r="B134" s="5">
        <v>43557</v>
      </c>
      <c r="C134" t="s">
        <v>2</v>
      </c>
    </row>
    <row r="135" spans="1:4" x14ac:dyDescent="0.15">
      <c r="A135" t="s">
        <v>8</v>
      </c>
      <c r="B135" s="5">
        <v>43545</v>
      </c>
      <c r="C135" t="s">
        <v>2</v>
      </c>
    </row>
    <row r="136" spans="1:4" x14ac:dyDescent="0.15">
      <c r="A136" t="s">
        <v>6</v>
      </c>
      <c r="B136" s="5">
        <v>43558</v>
      </c>
      <c r="C136" t="s">
        <v>2</v>
      </c>
      <c r="D136">
        <v>6.5</v>
      </c>
    </row>
    <row r="137" spans="1:4" x14ac:dyDescent="0.15">
      <c r="A137" t="s">
        <v>8</v>
      </c>
      <c r="B137" s="5">
        <v>43544</v>
      </c>
      <c r="C137" t="s">
        <v>2</v>
      </c>
    </row>
    <row r="138" spans="1:4" x14ac:dyDescent="0.15">
      <c r="A138" t="s">
        <v>6</v>
      </c>
      <c r="B138" s="5">
        <v>43559</v>
      </c>
      <c r="C138" t="s">
        <v>2</v>
      </c>
      <c r="D138">
        <v>4.25</v>
      </c>
    </row>
    <row r="139" spans="1:4" x14ac:dyDescent="0.15">
      <c r="A139" t="s">
        <v>8</v>
      </c>
      <c r="B139" s="5">
        <v>43543</v>
      </c>
      <c r="C139" t="s">
        <v>2</v>
      </c>
      <c r="D139">
        <v>0</v>
      </c>
    </row>
    <row r="140" spans="1:4" x14ac:dyDescent="0.15">
      <c r="A140" t="s">
        <v>6</v>
      </c>
      <c r="B140" s="5">
        <v>43560</v>
      </c>
      <c r="C140" t="s">
        <v>2</v>
      </c>
      <c r="D140">
        <v>6.75</v>
      </c>
    </row>
    <row r="141" spans="1:4" x14ac:dyDescent="0.15">
      <c r="A141" t="s">
        <v>8</v>
      </c>
      <c r="B141" s="5">
        <v>43542</v>
      </c>
      <c r="C141" t="s">
        <v>2</v>
      </c>
      <c r="D141">
        <v>5</v>
      </c>
    </row>
    <row r="142" spans="1:4" x14ac:dyDescent="0.15">
      <c r="A142" t="s">
        <v>6</v>
      </c>
      <c r="B142" s="5">
        <v>43563</v>
      </c>
      <c r="C142" t="s">
        <v>2</v>
      </c>
      <c r="D142">
        <v>2</v>
      </c>
    </row>
    <row r="143" spans="1:4" x14ac:dyDescent="0.15">
      <c r="A143" t="s">
        <v>8</v>
      </c>
      <c r="B143" s="5">
        <v>43539</v>
      </c>
      <c r="C143" t="s">
        <v>2</v>
      </c>
      <c r="D143">
        <v>4</v>
      </c>
    </row>
    <row r="144" spans="1:4" x14ac:dyDescent="0.15">
      <c r="A144" t="s">
        <v>6</v>
      </c>
      <c r="B144" s="5">
        <v>43564</v>
      </c>
      <c r="C144" t="s">
        <v>2</v>
      </c>
    </row>
    <row r="145" spans="1:4" x14ac:dyDescent="0.15">
      <c r="A145" t="s">
        <v>8</v>
      </c>
      <c r="B145" s="5">
        <v>43538</v>
      </c>
      <c r="C145" t="s">
        <v>2</v>
      </c>
      <c r="D145">
        <v>5</v>
      </c>
    </row>
    <row r="146" spans="1:4" x14ac:dyDescent="0.15">
      <c r="A146" t="s">
        <v>6</v>
      </c>
      <c r="B146" s="5">
        <v>43565</v>
      </c>
      <c r="C146" t="s">
        <v>2</v>
      </c>
      <c r="D146">
        <v>5.25</v>
      </c>
    </row>
    <row r="147" spans="1:4" x14ac:dyDescent="0.15">
      <c r="A147" t="s">
        <v>8</v>
      </c>
      <c r="B147" s="5">
        <v>43537</v>
      </c>
      <c r="C147" t="s">
        <v>2</v>
      </c>
      <c r="D147">
        <v>6.5</v>
      </c>
    </row>
    <row r="148" spans="1:4" x14ac:dyDescent="0.15">
      <c r="A148" t="s">
        <v>6</v>
      </c>
      <c r="B148" s="5">
        <v>43566</v>
      </c>
      <c r="C148" t="s">
        <v>2</v>
      </c>
      <c r="D148">
        <v>7</v>
      </c>
    </row>
    <row r="149" spans="1:4" x14ac:dyDescent="0.15">
      <c r="A149" t="s">
        <v>8</v>
      </c>
      <c r="B149" s="5">
        <v>43536</v>
      </c>
      <c r="C149" t="s">
        <v>2</v>
      </c>
      <c r="D149">
        <v>5.5</v>
      </c>
    </row>
    <row r="150" spans="1:4" x14ac:dyDescent="0.15">
      <c r="A150" t="s">
        <v>6</v>
      </c>
      <c r="B150" s="5">
        <v>43567</v>
      </c>
      <c r="C150" t="s">
        <v>2</v>
      </c>
      <c r="D150">
        <v>5.6</v>
      </c>
    </row>
    <row r="151" spans="1:4" x14ac:dyDescent="0.15">
      <c r="A151" t="s">
        <v>8</v>
      </c>
      <c r="B151" s="5">
        <v>43535</v>
      </c>
      <c r="C151" t="s">
        <v>2</v>
      </c>
      <c r="D151">
        <v>4.5</v>
      </c>
    </row>
    <row r="152" spans="1:4" x14ac:dyDescent="0.15">
      <c r="A152" t="s">
        <v>6</v>
      </c>
      <c r="B152" s="5">
        <v>43570</v>
      </c>
      <c r="C152" t="s">
        <v>2</v>
      </c>
      <c r="D152">
        <v>7.25</v>
      </c>
    </row>
    <row r="153" spans="1:4" x14ac:dyDescent="0.15">
      <c r="A153" t="s">
        <v>8</v>
      </c>
      <c r="B153" s="5">
        <v>43532</v>
      </c>
      <c r="C153" t="s">
        <v>2</v>
      </c>
      <c r="D153">
        <v>3.5</v>
      </c>
    </row>
    <row r="154" spans="1:4" x14ac:dyDescent="0.15">
      <c r="A154" t="s">
        <v>6</v>
      </c>
      <c r="B154" s="5">
        <v>43571</v>
      </c>
      <c r="C154" t="s">
        <v>2</v>
      </c>
      <c r="D154">
        <v>7.6</v>
      </c>
    </row>
    <row r="155" spans="1:4" x14ac:dyDescent="0.15">
      <c r="A155" t="s">
        <v>8</v>
      </c>
      <c r="B155" s="5">
        <v>43531</v>
      </c>
      <c r="C155" t="s">
        <v>2</v>
      </c>
      <c r="D155">
        <v>6</v>
      </c>
    </row>
    <row r="156" spans="1:4" x14ac:dyDescent="0.15">
      <c r="A156" t="s">
        <v>6</v>
      </c>
      <c r="B156" s="5">
        <v>43572</v>
      </c>
      <c r="C156" t="s">
        <v>2</v>
      </c>
    </row>
    <row r="157" spans="1:4" x14ac:dyDescent="0.15">
      <c r="A157" t="s">
        <v>8</v>
      </c>
      <c r="B157" s="5">
        <v>43530</v>
      </c>
      <c r="C157" t="s">
        <v>2</v>
      </c>
      <c r="D157">
        <v>6.8</v>
      </c>
    </row>
    <row r="158" spans="1:4" x14ac:dyDescent="0.15">
      <c r="A158" t="s">
        <v>6</v>
      </c>
      <c r="B158" s="5">
        <v>43573</v>
      </c>
      <c r="C158" t="s">
        <v>2</v>
      </c>
    </row>
    <row r="159" spans="1:4" x14ac:dyDescent="0.15">
      <c r="A159" t="s">
        <v>8</v>
      </c>
      <c r="B159" s="5">
        <v>43529</v>
      </c>
      <c r="C159" t="s">
        <v>2</v>
      </c>
      <c r="D159">
        <v>4.3</v>
      </c>
    </row>
    <row r="160" spans="1:4" x14ac:dyDescent="0.15">
      <c r="A160" t="s">
        <v>6</v>
      </c>
      <c r="B160" s="5">
        <v>43594</v>
      </c>
      <c r="C160" t="s">
        <v>2</v>
      </c>
      <c r="D160">
        <v>1</v>
      </c>
    </row>
    <row r="161" spans="1:4" x14ac:dyDescent="0.15">
      <c r="A161" t="s">
        <v>8</v>
      </c>
      <c r="B161" s="5">
        <v>43528</v>
      </c>
      <c r="C161" t="s">
        <v>2</v>
      </c>
      <c r="D161">
        <v>0</v>
      </c>
    </row>
    <row r="162" spans="1:4" x14ac:dyDescent="0.15">
      <c r="A162" t="s">
        <v>6</v>
      </c>
      <c r="B162" s="5">
        <v>43595</v>
      </c>
      <c r="C162" t="s">
        <v>2</v>
      </c>
      <c r="D162">
        <v>5.5</v>
      </c>
    </row>
    <row r="163" spans="1:4" x14ac:dyDescent="0.15">
      <c r="A163" t="s">
        <v>8</v>
      </c>
      <c r="B163" s="5">
        <v>43525</v>
      </c>
      <c r="C163" t="s">
        <v>2</v>
      </c>
      <c r="D163">
        <v>0</v>
      </c>
    </row>
    <row r="164" spans="1:4" x14ac:dyDescent="0.15">
      <c r="A164" t="s">
        <v>6</v>
      </c>
      <c r="B164" s="5">
        <v>43598</v>
      </c>
      <c r="C164" t="s">
        <v>2</v>
      </c>
      <c r="D164">
        <v>7.5</v>
      </c>
    </row>
    <row r="165" spans="1:4" x14ac:dyDescent="0.15">
      <c r="A165" t="s">
        <v>8</v>
      </c>
      <c r="B165" s="5">
        <v>43524</v>
      </c>
      <c r="C165" t="s">
        <v>2</v>
      </c>
      <c r="D165">
        <v>1</v>
      </c>
    </row>
    <row r="166" spans="1:4" x14ac:dyDescent="0.15">
      <c r="A166" t="s">
        <v>6</v>
      </c>
      <c r="B166" s="5">
        <v>43599</v>
      </c>
      <c r="C166" t="s">
        <v>2</v>
      </c>
      <c r="D166">
        <v>3</v>
      </c>
    </row>
    <row r="167" spans="1:4" x14ac:dyDescent="0.15">
      <c r="A167" t="s">
        <v>8</v>
      </c>
      <c r="B167" s="5">
        <v>43523</v>
      </c>
      <c r="C167" t="s">
        <v>2</v>
      </c>
      <c r="D167">
        <v>4.5</v>
      </c>
    </row>
    <row r="168" spans="1:4" x14ac:dyDescent="0.15">
      <c r="A168" t="s">
        <v>8</v>
      </c>
      <c r="B168" s="5">
        <v>43521</v>
      </c>
      <c r="C168" t="s">
        <v>2</v>
      </c>
      <c r="D168">
        <v>6.25</v>
      </c>
    </row>
    <row r="169" spans="1:4" x14ac:dyDescent="0.15">
      <c r="A169" t="s">
        <v>8</v>
      </c>
      <c r="B169" s="5">
        <v>43522</v>
      </c>
      <c r="C169" t="s">
        <v>2</v>
      </c>
      <c r="D169">
        <v>6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workbookViewId="0"/>
  </sheetViews>
  <sheetFormatPr defaultRowHeight="13.5" x14ac:dyDescent="0.15"/>
  <cols>
    <col min="1" max="2" width="10.5" bestFit="1" customWidth="1"/>
  </cols>
  <sheetData>
    <row r="1" spans="1:4" x14ac:dyDescent="0.15">
      <c r="A1" t="s">
        <v>21</v>
      </c>
      <c r="B1" t="s">
        <v>22</v>
      </c>
      <c r="C1" t="s">
        <v>23</v>
      </c>
      <c r="D1" t="s">
        <v>12</v>
      </c>
    </row>
    <row r="2" spans="1:4" x14ac:dyDescent="0.15">
      <c r="A2" s="5">
        <v>43521</v>
      </c>
      <c r="B2" s="5">
        <v>43503</v>
      </c>
      <c r="C2" s="1"/>
      <c r="D2" s="1"/>
    </row>
    <row r="3" spans="1:4" x14ac:dyDescent="0.15">
      <c r="A3" s="5">
        <v>43521</v>
      </c>
      <c r="B3" s="5">
        <v>43510</v>
      </c>
      <c r="C3" s="1"/>
      <c r="D3" s="1"/>
    </row>
    <row r="4" spans="1:4" x14ac:dyDescent="0.15">
      <c r="A4" s="5">
        <v>43521</v>
      </c>
      <c r="B4" s="5">
        <v>43517</v>
      </c>
      <c r="C4" s="1"/>
      <c r="D4" s="1"/>
    </row>
    <row r="5" spans="1:4" x14ac:dyDescent="0.15">
      <c r="A5" s="5">
        <v>43521</v>
      </c>
      <c r="B5" s="5">
        <v>43524</v>
      </c>
      <c r="C5" s="1">
        <v>0.6</v>
      </c>
      <c r="D5" s="1">
        <f>1-C5</f>
        <v>0.4</v>
      </c>
    </row>
    <row r="6" spans="1:4" x14ac:dyDescent="0.15">
      <c r="A6" s="5">
        <v>43525</v>
      </c>
      <c r="B6" s="5">
        <v>43531</v>
      </c>
      <c r="C6" s="1">
        <v>0.57999999999999996</v>
      </c>
      <c r="D6" s="1">
        <f>1-C6</f>
        <v>0.42000000000000004</v>
      </c>
    </row>
  </sheetData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9"/>
  <sheetViews>
    <sheetView showGridLines="0" zoomScale="80" zoomScaleNormal="80" workbookViewId="0">
      <selection activeCell="O23" sqref="O23"/>
    </sheetView>
  </sheetViews>
  <sheetFormatPr defaultRowHeight="13.5" x14ac:dyDescent="0.15"/>
  <cols>
    <col min="1" max="1" width="15.625" customWidth="1"/>
    <col min="2" max="2" width="17.5" customWidth="1"/>
    <col min="3" max="3" width="12.5" customWidth="1"/>
    <col min="4" max="4" width="13.5" customWidth="1"/>
    <col min="5" max="6" width="9.125" bestFit="1" customWidth="1"/>
    <col min="7" max="7" width="6.25" customWidth="1"/>
    <col min="12" max="12" width="11.25" customWidth="1"/>
    <col min="13" max="13" width="11.625" customWidth="1"/>
  </cols>
  <sheetData>
    <row r="1" spans="1:2" x14ac:dyDescent="0.15">
      <c r="A1" s="3" t="s">
        <v>20</v>
      </c>
      <c r="B1" t="s">
        <v>48</v>
      </c>
    </row>
    <row r="3" spans="1:2" x14ac:dyDescent="0.15">
      <c r="A3" s="3" t="s">
        <v>31</v>
      </c>
      <c r="B3" t="s">
        <v>19</v>
      </c>
    </row>
    <row r="4" spans="1:2" x14ac:dyDescent="0.15">
      <c r="A4" s="4" t="s">
        <v>2</v>
      </c>
      <c r="B4" s="2">
        <v>120.75</v>
      </c>
    </row>
    <row r="5" spans="1:2" x14ac:dyDescent="0.15">
      <c r="A5" s="4" t="s">
        <v>4</v>
      </c>
      <c r="B5" s="2">
        <v>19</v>
      </c>
    </row>
    <row r="6" spans="1:2" x14ac:dyDescent="0.15">
      <c r="A6" s="4" t="s">
        <v>32</v>
      </c>
      <c r="B6" s="2">
        <v>139.75</v>
      </c>
    </row>
    <row r="8" spans="1:2" x14ac:dyDescent="0.15">
      <c r="A8" s="4"/>
    </row>
    <row r="12" spans="1:2" x14ac:dyDescent="0.15">
      <c r="A12" s="3" t="s">
        <v>20</v>
      </c>
      <c r="B12" t="s">
        <v>48</v>
      </c>
    </row>
    <row r="14" spans="1:2" x14ac:dyDescent="0.15">
      <c r="A14" s="3" t="s">
        <v>31</v>
      </c>
      <c r="B14" t="s">
        <v>19</v>
      </c>
    </row>
    <row r="15" spans="1:2" x14ac:dyDescent="0.15">
      <c r="A15" s="4" t="s">
        <v>2</v>
      </c>
      <c r="B15" s="2">
        <v>94.75</v>
      </c>
    </row>
    <row r="16" spans="1:2" x14ac:dyDescent="0.15">
      <c r="A16" s="4" t="s">
        <v>4</v>
      </c>
      <c r="B16" s="2">
        <v>16.5</v>
      </c>
    </row>
    <row r="17" spans="1:2" x14ac:dyDescent="0.15">
      <c r="A17" s="4" t="s">
        <v>32</v>
      </c>
      <c r="B17" s="2">
        <v>111.25</v>
      </c>
    </row>
    <row r="23" spans="1:2" x14ac:dyDescent="0.15">
      <c r="A23" s="3" t="s">
        <v>20</v>
      </c>
      <c r="B23" t="s">
        <v>34</v>
      </c>
    </row>
    <row r="25" spans="1:2" x14ac:dyDescent="0.15">
      <c r="A25" s="3" t="s">
        <v>31</v>
      </c>
      <c r="B25" t="s">
        <v>19</v>
      </c>
    </row>
    <row r="26" spans="1:2" x14ac:dyDescent="0.15">
      <c r="A26" s="4" t="s">
        <v>2</v>
      </c>
      <c r="B26" s="2">
        <v>878.4</v>
      </c>
    </row>
    <row r="27" spans="1:2" x14ac:dyDescent="0.15">
      <c r="A27" s="4" t="s">
        <v>4</v>
      </c>
      <c r="B27" s="2">
        <v>373.45</v>
      </c>
    </row>
    <row r="28" spans="1:2" x14ac:dyDescent="0.15">
      <c r="A28" s="4" t="s">
        <v>33</v>
      </c>
      <c r="B28" s="2"/>
    </row>
    <row r="29" spans="1:2" x14ac:dyDescent="0.15">
      <c r="A29" s="4" t="s">
        <v>32</v>
      </c>
      <c r="B29" s="2">
        <v>1251.8499999999999</v>
      </c>
    </row>
  </sheetData>
  <phoneticPr fontId="2"/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D250"/>
  <sheetViews>
    <sheetView topLeftCell="A3" workbookViewId="0">
      <selection activeCell="A28" sqref="A28"/>
    </sheetView>
  </sheetViews>
  <sheetFormatPr defaultRowHeight="13.5" x14ac:dyDescent="0.15"/>
  <cols>
    <col min="1" max="1" width="14.125" style="6" bestFit="1" customWidth="1"/>
    <col min="2" max="2" width="17.5" bestFit="1" customWidth="1"/>
    <col min="3" max="3" width="12.375" bestFit="1" customWidth="1"/>
    <col min="4" max="4" width="12.625" customWidth="1"/>
    <col min="5" max="5" width="8.5" bestFit="1" customWidth="1"/>
    <col min="6" max="6" width="12.375" customWidth="1"/>
    <col min="7" max="7" width="14.375" bestFit="1" customWidth="1"/>
    <col min="8" max="10" width="9.125" bestFit="1" customWidth="1"/>
    <col min="11" max="11" width="17.625" bestFit="1" customWidth="1"/>
    <col min="12" max="12" width="8.5" customWidth="1"/>
  </cols>
  <sheetData>
    <row r="3" spans="1:4" x14ac:dyDescent="0.15">
      <c r="A3" s="8" t="s">
        <v>19</v>
      </c>
      <c r="B3" s="3" t="s">
        <v>35</v>
      </c>
    </row>
    <row r="4" spans="1:4" x14ac:dyDescent="0.15">
      <c r="A4" s="8" t="s">
        <v>31</v>
      </c>
      <c r="B4" t="s">
        <v>2</v>
      </c>
      <c r="C4" t="s">
        <v>4</v>
      </c>
      <c r="D4" t="s">
        <v>32</v>
      </c>
    </row>
    <row r="5" spans="1:4" x14ac:dyDescent="0.15">
      <c r="A5" s="10">
        <v>43602</v>
      </c>
      <c r="B5" s="2">
        <v>26</v>
      </c>
      <c r="C5" s="2">
        <v>2.5</v>
      </c>
      <c r="D5" s="2">
        <v>28.5</v>
      </c>
    </row>
    <row r="6" spans="1:4" x14ac:dyDescent="0.15">
      <c r="A6" s="11" t="s">
        <v>47</v>
      </c>
      <c r="B6" s="2">
        <v>7</v>
      </c>
      <c r="C6" s="2">
        <v>0.5</v>
      </c>
      <c r="D6" s="2">
        <v>7.5</v>
      </c>
    </row>
    <row r="7" spans="1:4" x14ac:dyDescent="0.15">
      <c r="A7" s="11" t="s">
        <v>6</v>
      </c>
      <c r="B7" s="2">
        <v>5</v>
      </c>
      <c r="C7" s="2">
        <v>1</v>
      </c>
      <c r="D7" s="2">
        <v>6</v>
      </c>
    </row>
    <row r="8" spans="1:4" x14ac:dyDescent="0.15">
      <c r="A8" s="11" t="s">
        <v>8</v>
      </c>
      <c r="B8" s="2">
        <v>7</v>
      </c>
      <c r="C8" s="2">
        <v>0.5</v>
      </c>
      <c r="D8" s="2">
        <v>7.5</v>
      </c>
    </row>
    <row r="9" spans="1:4" x14ac:dyDescent="0.15">
      <c r="A9" s="11" t="s">
        <v>0</v>
      </c>
      <c r="B9" s="2">
        <v>7</v>
      </c>
      <c r="C9" s="2">
        <v>0.5</v>
      </c>
      <c r="D9" s="2">
        <v>7.5</v>
      </c>
    </row>
    <row r="10" spans="1:4" x14ac:dyDescent="0.15">
      <c r="A10" s="10">
        <v>43605</v>
      </c>
      <c r="B10" s="2">
        <v>19.25</v>
      </c>
      <c r="C10" s="2">
        <v>4</v>
      </c>
      <c r="D10" s="2">
        <v>23.25</v>
      </c>
    </row>
    <row r="11" spans="1:4" x14ac:dyDescent="0.15">
      <c r="A11" s="11" t="s">
        <v>47</v>
      </c>
      <c r="B11" s="2">
        <v>7</v>
      </c>
      <c r="C11" s="2">
        <v>0.5</v>
      </c>
      <c r="D11" s="2">
        <v>7.5</v>
      </c>
    </row>
    <row r="12" spans="1:4" x14ac:dyDescent="0.15">
      <c r="A12" s="11" t="s">
        <v>6</v>
      </c>
      <c r="B12" s="2">
        <v>6</v>
      </c>
      <c r="C12" s="2">
        <v>1.5</v>
      </c>
      <c r="D12" s="2">
        <v>7.5</v>
      </c>
    </row>
    <row r="13" spans="1:4" x14ac:dyDescent="0.15">
      <c r="A13" s="11" t="s">
        <v>8</v>
      </c>
      <c r="B13" s="2">
        <v>3.75</v>
      </c>
      <c r="C13" s="2">
        <v>1</v>
      </c>
      <c r="D13" s="2">
        <v>4.75</v>
      </c>
    </row>
    <row r="14" spans="1:4" x14ac:dyDescent="0.15">
      <c r="A14" s="11" t="s">
        <v>0</v>
      </c>
      <c r="B14" s="2">
        <v>2.5</v>
      </c>
      <c r="C14" s="2">
        <v>1</v>
      </c>
      <c r="D14" s="2">
        <v>3.5</v>
      </c>
    </row>
    <row r="15" spans="1:4" x14ac:dyDescent="0.15">
      <c r="A15" s="10">
        <v>43606</v>
      </c>
      <c r="B15" s="2">
        <v>26.5</v>
      </c>
      <c r="C15" s="2">
        <v>3.5</v>
      </c>
      <c r="D15" s="2">
        <v>30</v>
      </c>
    </row>
    <row r="16" spans="1:4" x14ac:dyDescent="0.15">
      <c r="A16" s="11" t="s">
        <v>47</v>
      </c>
      <c r="B16" s="2">
        <v>6.5</v>
      </c>
      <c r="C16" s="2">
        <v>1</v>
      </c>
      <c r="D16" s="2">
        <v>7.5</v>
      </c>
    </row>
    <row r="17" spans="1:4" x14ac:dyDescent="0.15">
      <c r="A17" s="11" t="s">
        <v>6</v>
      </c>
      <c r="B17" s="2">
        <v>6.5</v>
      </c>
      <c r="C17" s="2">
        <v>1</v>
      </c>
      <c r="D17" s="2">
        <v>7.5</v>
      </c>
    </row>
    <row r="18" spans="1:4" x14ac:dyDescent="0.15">
      <c r="A18" s="11" t="s">
        <v>8</v>
      </c>
      <c r="B18" s="2">
        <v>6.25</v>
      </c>
      <c r="C18" s="2">
        <v>1.25</v>
      </c>
      <c r="D18" s="2">
        <v>7.5</v>
      </c>
    </row>
    <row r="19" spans="1:4" x14ac:dyDescent="0.15">
      <c r="A19" s="11" t="s">
        <v>0</v>
      </c>
      <c r="B19" s="2">
        <v>7.25</v>
      </c>
      <c r="C19" s="2">
        <v>0.25</v>
      </c>
      <c r="D19" s="2">
        <v>7.5</v>
      </c>
    </row>
    <row r="20" spans="1:4" x14ac:dyDescent="0.15">
      <c r="A20" s="10">
        <v>43607</v>
      </c>
      <c r="B20" s="2">
        <v>26.25</v>
      </c>
      <c r="C20" s="2">
        <v>3.75</v>
      </c>
      <c r="D20" s="2">
        <v>30</v>
      </c>
    </row>
    <row r="21" spans="1:4" x14ac:dyDescent="0.15">
      <c r="A21" s="11" t="s">
        <v>47</v>
      </c>
      <c r="B21" s="2">
        <v>7</v>
      </c>
      <c r="C21" s="2">
        <v>0.5</v>
      </c>
      <c r="D21" s="2">
        <v>7.5</v>
      </c>
    </row>
    <row r="22" spans="1:4" x14ac:dyDescent="0.15">
      <c r="A22" s="11" t="s">
        <v>6</v>
      </c>
      <c r="B22" s="2">
        <v>6.5</v>
      </c>
      <c r="C22" s="2">
        <v>1</v>
      </c>
      <c r="D22" s="2">
        <v>7.5</v>
      </c>
    </row>
    <row r="23" spans="1:4" x14ac:dyDescent="0.15">
      <c r="A23" s="11" t="s">
        <v>8</v>
      </c>
      <c r="B23" s="2">
        <v>6.5</v>
      </c>
      <c r="C23" s="2">
        <v>1</v>
      </c>
      <c r="D23" s="2">
        <v>7.5</v>
      </c>
    </row>
    <row r="24" spans="1:4" x14ac:dyDescent="0.15">
      <c r="A24" s="11" t="s">
        <v>0</v>
      </c>
      <c r="B24" s="2">
        <v>6.25</v>
      </c>
      <c r="C24" s="2">
        <v>1.25</v>
      </c>
      <c r="D24" s="2">
        <v>7.5</v>
      </c>
    </row>
    <row r="25" spans="1:4" x14ac:dyDescent="0.15">
      <c r="A25" s="10">
        <v>43608</v>
      </c>
      <c r="B25" s="2">
        <v>22.75</v>
      </c>
      <c r="C25" s="2">
        <v>5.25</v>
      </c>
      <c r="D25" s="2">
        <v>28</v>
      </c>
    </row>
    <row r="26" spans="1:4" x14ac:dyDescent="0.15">
      <c r="A26" s="11" t="s">
        <v>47</v>
      </c>
      <c r="B26" s="2">
        <v>5</v>
      </c>
      <c r="C26" s="2">
        <v>0.5</v>
      </c>
      <c r="D26" s="2">
        <v>5.5</v>
      </c>
    </row>
    <row r="27" spans="1:4" x14ac:dyDescent="0.15">
      <c r="A27" s="11" t="s">
        <v>6</v>
      </c>
      <c r="B27" s="2">
        <v>6.5</v>
      </c>
      <c r="C27" s="2">
        <v>1</v>
      </c>
      <c r="D27" s="2">
        <v>7.5</v>
      </c>
    </row>
    <row r="28" spans="1:4" x14ac:dyDescent="0.15">
      <c r="A28" s="11" t="s">
        <v>8</v>
      </c>
      <c r="B28" s="2">
        <v>6</v>
      </c>
      <c r="C28" s="2">
        <v>1.5</v>
      </c>
      <c r="D28" s="2">
        <v>7.5</v>
      </c>
    </row>
    <row r="29" spans="1:4" x14ac:dyDescent="0.15">
      <c r="A29" s="11" t="s">
        <v>0</v>
      </c>
      <c r="B29" s="2">
        <v>5.25</v>
      </c>
      <c r="C29" s="2">
        <v>2.25</v>
      </c>
      <c r="D29" s="2">
        <v>7.5</v>
      </c>
    </row>
    <row r="30" spans="1:4" x14ac:dyDescent="0.15">
      <c r="A30" s="7" t="s">
        <v>32</v>
      </c>
      <c r="B30" s="2">
        <v>120.75</v>
      </c>
      <c r="C30" s="2">
        <v>19</v>
      </c>
      <c r="D30" s="2">
        <v>139.75</v>
      </c>
    </row>
    <row r="31" spans="1:4" x14ac:dyDescent="0.15">
      <c r="A31"/>
    </row>
    <row r="32" spans="1:4" x14ac:dyDescent="0.15">
      <c r="A32"/>
    </row>
    <row r="33" spans="1:1" x14ac:dyDescent="0.15">
      <c r="A33"/>
    </row>
    <row r="34" spans="1:1" x14ac:dyDescent="0.15">
      <c r="A34"/>
    </row>
    <row r="35" spans="1:1" x14ac:dyDescent="0.15">
      <c r="A35"/>
    </row>
    <row r="36" spans="1:1" x14ac:dyDescent="0.15">
      <c r="A36"/>
    </row>
    <row r="37" spans="1:1" x14ac:dyDescent="0.15">
      <c r="A37"/>
    </row>
    <row r="38" spans="1:1" x14ac:dyDescent="0.15">
      <c r="A38"/>
    </row>
    <row r="39" spans="1:1" x14ac:dyDescent="0.15">
      <c r="A39"/>
    </row>
    <row r="40" spans="1:1" x14ac:dyDescent="0.15">
      <c r="A40"/>
    </row>
    <row r="41" spans="1:1" x14ac:dyDescent="0.15">
      <c r="A41"/>
    </row>
    <row r="42" spans="1:1" x14ac:dyDescent="0.15">
      <c r="A42"/>
    </row>
    <row r="43" spans="1:1" x14ac:dyDescent="0.15">
      <c r="A43"/>
    </row>
    <row r="44" spans="1:1" x14ac:dyDescent="0.15">
      <c r="A44"/>
    </row>
    <row r="45" spans="1:1" x14ac:dyDescent="0.15">
      <c r="A45"/>
    </row>
    <row r="46" spans="1:1" x14ac:dyDescent="0.15">
      <c r="A46"/>
    </row>
    <row r="47" spans="1:1" x14ac:dyDescent="0.15">
      <c r="A47"/>
    </row>
    <row r="48" spans="1:1" x14ac:dyDescent="0.15">
      <c r="A48"/>
    </row>
    <row r="49" spans="1:1" x14ac:dyDescent="0.15">
      <c r="A49"/>
    </row>
    <row r="50" spans="1:1" x14ac:dyDescent="0.15">
      <c r="A50"/>
    </row>
    <row r="51" spans="1:1" x14ac:dyDescent="0.15">
      <c r="A51"/>
    </row>
    <row r="52" spans="1:1" x14ac:dyDescent="0.15">
      <c r="A52"/>
    </row>
    <row r="53" spans="1:1" x14ac:dyDescent="0.15">
      <c r="A53"/>
    </row>
    <row r="54" spans="1:1" x14ac:dyDescent="0.15">
      <c r="A54"/>
    </row>
    <row r="55" spans="1:1" x14ac:dyDescent="0.15">
      <c r="A55"/>
    </row>
    <row r="56" spans="1:1" x14ac:dyDescent="0.15">
      <c r="A56"/>
    </row>
    <row r="57" spans="1:1" x14ac:dyDescent="0.15">
      <c r="A57"/>
    </row>
    <row r="58" spans="1:1" x14ac:dyDescent="0.15">
      <c r="A58"/>
    </row>
    <row r="59" spans="1:1" x14ac:dyDescent="0.15">
      <c r="A59"/>
    </row>
    <row r="60" spans="1:1" x14ac:dyDescent="0.15">
      <c r="A60"/>
    </row>
    <row r="61" spans="1:1" x14ac:dyDescent="0.15">
      <c r="A61"/>
    </row>
    <row r="62" spans="1:1" x14ac:dyDescent="0.15">
      <c r="A62"/>
    </row>
    <row r="63" spans="1:1" x14ac:dyDescent="0.15">
      <c r="A63"/>
    </row>
    <row r="64" spans="1:1" x14ac:dyDescent="0.15">
      <c r="A64"/>
    </row>
    <row r="65" spans="1:1" x14ac:dyDescent="0.15">
      <c r="A65"/>
    </row>
    <row r="66" spans="1:1" x14ac:dyDescent="0.15">
      <c r="A66"/>
    </row>
    <row r="67" spans="1:1" x14ac:dyDescent="0.15">
      <c r="A67"/>
    </row>
    <row r="68" spans="1:1" x14ac:dyDescent="0.15">
      <c r="A68"/>
    </row>
    <row r="69" spans="1:1" x14ac:dyDescent="0.15">
      <c r="A69"/>
    </row>
    <row r="70" spans="1:1" x14ac:dyDescent="0.15">
      <c r="A70"/>
    </row>
    <row r="71" spans="1:1" x14ac:dyDescent="0.15">
      <c r="A71"/>
    </row>
    <row r="72" spans="1:1" x14ac:dyDescent="0.15">
      <c r="A72"/>
    </row>
    <row r="73" spans="1:1" x14ac:dyDescent="0.15">
      <c r="A73"/>
    </row>
    <row r="74" spans="1:1" x14ac:dyDescent="0.15">
      <c r="A74"/>
    </row>
    <row r="75" spans="1:1" x14ac:dyDescent="0.15">
      <c r="A75"/>
    </row>
    <row r="76" spans="1:1" x14ac:dyDescent="0.15">
      <c r="A76"/>
    </row>
    <row r="77" spans="1:1" x14ac:dyDescent="0.15">
      <c r="A77"/>
    </row>
    <row r="78" spans="1:1" x14ac:dyDescent="0.15">
      <c r="A78"/>
    </row>
    <row r="79" spans="1:1" x14ac:dyDescent="0.15">
      <c r="A79"/>
    </row>
    <row r="80" spans="1:1" x14ac:dyDescent="0.15">
      <c r="A80"/>
    </row>
    <row r="81" spans="1:1" x14ac:dyDescent="0.15">
      <c r="A81"/>
    </row>
    <row r="82" spans="1:1" x14ac:dyDescent="0.15">
      <c r="A82"/>
    </row>
    <row r="83" spans="1:1" x14ac:dyDescent="0.15">
      <c r="A83"/>
    </row>
    <row r="84" spans="1:1" x14ac:dyDescent="0.15">
      <c r="A84"/>
    </row>
    <row r="85" spans="1:1" x14ac:dyDescent="0.15">
      <c r="A85"/>
    </row>
    <row r="86" spans="1:1" x14ac:dyDescent="0.15">
      <c r="A86"/>
    </row>
    <row r="87" spans="1:1" x14ac:dyDescent="0.15">
      <c r="A87"/>
    </row>
    <row r="88" spans="1:1" x14ac:dyDescent="0.15">
      <c r="A88"/>
    </row>
    <row r="89" spans="1:1" x14ac:dyDescent="0.15">
      <c r="A89"/>
    </row>
    <row r="90" spans="1:1" x14ac:dyDescent="0.15">
      <c r="A90"/>
    </row>
    <row r="91" spans="1:1" x14ac:dyDescent="0.15">
      <c r="A91"/>
    </row>
    <row r="92" spans="1:1" x14ac:dyDescent="0.15">
      <c r="A92"/>
    </row>
    <row r="93" spans="1:1" x14ac:dyDescent="0.15">
      <c r="A93"/>
    </row>
    <row r="94" spans="1:1" x14ac:dyDescent="0.15">
      <c r="A94"/>
    </row>
    <row r="95" spans="1:1" x14ac:dyDescent="0.15">
      <c r="A95"/>
    </row>
    <row r="96" spans="1:1" x14ac:dyDescent="0.15">
      <c r="A96"/>
    </row>
    <row r="97" spans="1:1" x14ac:dyDescent="0.15">
      <c r="A97"/>
    </row>
    <row r="98" spans="1:1" x14ac:dyDescent="0.15">
      <c r="A98"/>
    </row>
    <row r="99" spans="1:1" x14ac:dyDescent="0.15">
      <c r="A99"/>
    </row>
    <row r="100" spans="1:1" x14ac:dyDescent="0.15">
      <c r="A100"/>
    </row>
    <row r="101" spans="1:1" x14ac:dyDescent="0.15">
      <c r="A101"/>
    </row>
    <row r="102" spans="1:1" x14ac:dyDescent="0.15">
      <c r="A102"/>
    </row>
    <row r="103" spans="1:1" x14ac:dyDescent="0.15">
      <c r="A103"/>
    </row>
    <row r="104" spans="1:1" x14ac:dyDescent="0.15">
      <c r="A104"/>
    </row>
    <row r="105" spans="1:1" x14ac:dyDescent="0.15">
      <c r="A105"/>
    </row>
    <row r="106" spans="1:1" x14ac:dyDescent="0.15">
      <c r="A106"/>
    </row>
    <row r="107" spans="1:1" x14ac:dyDescent="0.15">
      <c r="A107"/>
    </row>
    <row r="108" spans="1:1" x14ac:dyDescent="0.15">
      <c r="A108"/>
    </row>
    <row r="109" spans="1:1" x14ac:dyDescent="0.15">
      <c r="A109"/>
    </row>
    <row r="110" spans="1:1" x14ac:dyDescent="0.15">
      <c r="A110"/>
    </row>
    <row r="111" spans="1:1" x14ac:dyDescent="0.15">
      <c r="A111"/>
    </row>
    <row r="112" spans="1:1" x14ac:dyDescent="0.15">
      <c r="A112"/>
    </row>
    <row r="113" spans="1:1" x14ac:dyDescent="0.15">
      <c r="A113"/>
    </row>
    <row r="114" spans="1:1" x14ac:dyDescent="0.15">
      <c r="A114"/>
    </row>
    <row r="115" spans="1:1" x14ac:dyDescent="0.15">
      <c r="A115"/>
    </row>
    <row r="116" spans="1:1" x14ac:dyDescent="0.15">
      <c r="A116"/>
    </row>
    <row r="117" spans="1:1" x14ac:dyDescent="0.15">
      <c r="A117"/>
    </row>
    <row r="118" spans="1:1" x14ac:dyDescent="0.15">
      <c r="A118"/>
    </row>
    <row r="119" spans="1:1" x14ac:dyDescent="0.15">
      <c r="A119"/>
    </row>
    <row r="120" spans="1:1" x14ac:dyDescent="0.15">
      <c r="A120"/>
    </row>
    <row r="121" spans="1:1" x14ac:dyDescent="0.15">
      <c r="A121"/>
    </row>
    <row r="122" spans="1:1" x14ac:dyDescent="0.15">
      <c r="A122"/>
    </row>
    <row r="123" spans="1:1" x14ac:dyDescent="0.15">
      <c r="A123"/>
    </row>
    <row r="124" spans="1:1" x14ac:dyDescent="0.15">
      <c r="A124"/>
    </row>
    <row r="125" spans="1:1" x14ac:dyDescent="0.15">
      <c r="A125"/>
    </row>
    <row r="126" spans="1:1" x14ac:dyDescent="0.15">
      <c r="A126"/>
    </row>
    <row r="127" spans="1:1" x14ac:dyDescent="0.15">
      <c r="A127"/>
    </row>
    <row r="128" spans="1:1" x14ac:dyDescent="0.15">
      <c r="A128"/>
    </row>
    <row r="129" spans="1:1" x14ac:dyDescent="0.15">
      <c r="A129"/>
    </row>
    <row r="130" spans="1:1" x14ac:dyDescent="0.15">
      <c r="A130"/>
    </row>
    <row r="131" spans="1:1" x14ac:dyDescent="0.15">
      <c r="A131"/>
    </row>
    <row r="132" spans="1:1" x14ac:dyDescent="0.15">
      <c r="A132"/>
    </row>
    <row r="133" spans="1:1" x14ac:dyDescent="0.15">
      <c r="A133"/>
    </row>
    <row r="134" spans="1:1" x14ac:dyDescent="0.15">
      <c r="A134"/>
    </row>
    <row r="135" spans="1:1" x14ac:dyDescent="0.15">
      <c r="A135"/>
    </row>
    <row r="136" spans="1:1" x14ac:dyDescent="0.15">
      <c r="A136"/>
    </row>
    <row r="137" spans="1:1" x14ac:dyDescent="0.15">
      <c r="A137"/>
    </row>
    <row r="138" spans="1:1" x14ac:dyDescent="0.15">
      <c r="A138"/>
    </row>
    <row r="139" spans="1:1" x14ac:dyDescent="0.15">
      <c r="A139"/>
    </row>
    <row r="140" spans="1:1" x14ac:dyDescent="0.15">
      <c r="A140"/>
    </row>
    <row r="141" spans="1:1" x14ac:dyDescent="0.15">
      <c r="A141"/>
    </row>
    <row r="142" spans="1:1" x14ac:dyDescent="0.15">
      <c r="A142"/>
    </row>
    <row r="143" spans="1:1" x14ac:dyDescent="0.15">
      <c r="A143"/>
    </row>
    <row r="144" spans="1:1" x14ac:dyDescent="0.15">
      <c r="A144"/>
    </row>
    <row r="145" spans="1:1" x14ac:dyDescent="0.15">
      <c r="A145"/>
    </row>
    <row r="146" spans="1:1" x14ac:dyDescent="0.15">
      <c r="A146"/>
    </row>
    <row r="147" spans="1:1" x14ac:dyDescent="0.15">
      <c r="A147"/>
    </row>
    <row r="148" spans="1:1" x14ac:dyDescent="0.15">
      <c r="A148"/>
    </row>
    <row r="149" spans="1:1" x14ac:dyDescent="0.15">
      <c r="A149"/>
    </row>
    <row r="150" spans="1:1" x14ac:dyDescent="0.15">
      <c r="A150"/>
    </row>
    <row r="151" spans="1:1" x14ac:dyDescent="0.15">
      <c r="A151"/>
    </row>
    <row r="152" spans="1:1" x14ac:dyDescent="0.15">
      <c r="A152"/>
    </row>
    <row r="153" spans="1:1" x14ac:dyDescent="0.15">
      <c r="A153"/>
    </row>
    <row r="154" spans="1:1" x14ac:dyDescent="0.15">
      <c r="A154"/>
    </row>
    <row r="155" spans="1:1" x14ac:dyDescent="0.15">
      <c r="A155"/>
    </row>
    <row r="156" spans="1:1" x14ac:dyDescent="0.15">
      <c r="A156"/>
    </row>
    <row r="157" spans="1:1" x14ac:dyDescent="0.15">
      <c r="A157"/>
    </row>
    <row r="158" spans="1:1" x14ac:dyDescent="0.15">
      <c r="A158"/>
    </row>
    <row r="159" spans="1:1" x14ac:dyDescent="0.15">
      <c r="A159"/>
    </row>
    <row r="160" spans="1:1" x14ac:dyDescent="0.15">
      <c r="A160"/>
    </row>
    <row r="161" spans="1:1" x14ac:dyDescent="0.15">
      <c r="A161"/>
    </row>
    <row r="162" spans="1:1" x14ac:dyDescent="0.15">
      <c r="A162"/>
    </row>
    <row r="163" spans="1:1" x14ac:dyDescent="0.15">
      <c r="A163"/>
    </row>
    <row r="164" spans="1:1" x14ac:dyDescent="0.15">
      <c r="A164"/>
    </row>
    <row r="165" spans="1:1" x14ac:dyDescent="0.15">
      <c r="A165"/>
    </row>
    <row r="166" spans="1:1" x14ac:dyDescent="0.15">
      <c r="A166"/>
    </row>
    <row r="167" spans="1:1" x14ac:dyDescent="0.15">
      <c r="A167"/>
    </row>
    <row r="168" spans="1:1" x14ac:dyDescent="0.15">
      <c r="A168"/>
    </row>
    <row r="169" spans="1:1" x14ac:dyDescent="0.15">
      <c r="A169"/>
    </row>
    <row r="170" spans="1:1" x14ac:dyDescent="0.15">
      <c r="A170"/>
    </row>
    <row r="171" spans="1:1" x14ac:dyDescent="0.15">
      <c r="A171"/>
    </row>
    <row r="172" spans="1:1" x14ac:dyDescent="0.15">
      <c r="A172"/>
    </row>
    <row r="173" spans="1:1" x14ac:dyDescent="0.15">
      <c r="A173"/>
    </row>
    <row r="174" spans="1:1" x14ac:dyDescent="0.15">
      <c r="A174"/>
    </row>
    <row r="175" spans="1:1" x14ac:dyDescent="0.15">
      <c r="A175"/>
    </row>
    <row r="176" spans="1:1" x14ac:dyDescent="0.15">
      <c r="A176"/>
    </row>
    <row r="177" spans="1:1" x14ac:dyDescent="0.15">
      <c r="A177"/>
    </row>
    <row r="178" spans="1:1" x14ac:dyDescent="0.15">
      <c r="A178"/>
    </row>
    <row r="179" spans="1:1" x14ac:dyDescent="0.15">
      <c r="A179"/>
    </row>
    <row r="180" spans="1:1" x14ac:dyDescent="0.15">
      <c r="A180"/>
    </row>
    <row r="181" spans="1:1" x14ac:dyDescent="0.15">
      <c r="A181"/>
    </row>
    <row r="182" spans="1:1" x14ac:dyDescent="0.15">
      <c r="A182"/>
    </row>
    <row r="183" spans="1:1" x14ac:dyDescent="0.15">
      <c r="A183"/>
    </row>
    <row r="184" spans="1:1" x14ac:dyDescent="0.15">
      <c r="A184"/>
    </row>
    <row r="185" spans="1:1" x14ac:dyDescent="0.15">
      <c r="A185"/>
    </row>
    <row r="186" spans="1:1" x14ac:dyDescent="0.15">
      <c r="A186"/>
    </row>
    <row r="187" spans="1:1" x14ac:dyDescent="0.15">
      <c r="A187"/>
    </row>
    <row r="188" spans="1:1" x14ac:dyDescent="0.15">
      <c r="A188"/>
    </row>
    <row r="189" spans="1:1" x14ac:dyDescent="0.15">
      <c r="A189"/>
    </row>
    <row r="190" spans="1:1" x14ac:dyDescent="0.15">
      <c r="A190"/>
    </row>
    <row r="191" spans="1:1" x14ac:dyDescent="0.15">
      <c r="A191"/>
    </row>
    <row r="192" spans="1:1" x14ac:dyDescent="0.15">
      <c r="A192"/>
    </row>
    <row r="193" spans="1:1" x14ac:dyDescent="0.15">
      <c r="A193"/>
    </row>
    <row r="194" spans="1:1" x14ac:dyDescent="0.15">
      <c r="A194"/>
    </row>
    <row r="195" spans="1:1" x14ac:dyDescent="0.15">
      <c r="A195"/>
    </row>
    <row r="196" spans="1:1" x14ac:dyDescent="0.15">
      <c r="A196"/>
    </row>
    <row r="197" spans="1:1" x14ac:dyDescent="0.15">
      <c r="A197"/>
    </row>
    <row r="198" spans="1:1" x14ac:dyDescent="0.15">
      <c r="A198"/>
    </row>
    <row r="199" spans="1:1" x14ac:dyDescent="0.15">
      <c r="A199"/>
    </row>
    <row r="200" spans="1:1" x14ac:dyDescent="0.15">
      <c r="A200"/>
    </row>
    <row r="201" spans="1:1" x14ac:dyDescent="0.15">
      <c r="A201"/>
    </row>
    <row r="202" spans="1:1" x14ac:dyDescent="0.15">
      <c r="A202"/>
    </row>
    <row r="203" spans="1:1" x14ac:dyDescent="0.15">
      <c r="A203"/>
    </row>
    <row r="204" spans="1:1" x14ac:dyDescent="0.15">
      <c r="A204"/>
    </row>
    <row r="205" spans="1:1" x14ac:dyDescent="0.15">
      <c r="A205"/>
    </row>
    <row r="206" spans="1:1" x14ac:dyDescent="0.15">
      <c r="A206"/>
    </row>
    <row r="207" spans="1:1" x14ac:dyDescent="0.15">
      <c r="A207"/>
    </row>
    <row r="208" spans="1:1" x14ac:dyDescent="0.15">
      <c r="A208"/>
    </row>
    <row r="209" spans="1:1" x14ac:dyDescent="0.15">
      <c r="A209"/>
    </row>
    <row r="210" spans="1:1" x14ac:dyDescent="0.15">
      <c r="A210"/>
    </row>
    <row r="211" spans="1:1" x14ac:dyDescent="0.15">
      <c r="A211"/>
    </row>
    <row r="212" spans="1:1" x14ac:dyDescent="0.15">
      <c r="A212"/>
    </row>
    <row r="213" spans="1:1" x14ac:dyDescent="0.15">
      <c r="A213"/>
    </row>
    <row r="214" spans="1:1" x14ac:dyDescent="0.15">
      <c r="A214"/>
    </row>
    <row r="215" spans="1:1" x14ac:dyDescent="0.15">
      <c r="A215"/>
    </row>
    <row r="216" spans="1:1" x14ac:dyDescent="0.15">
      <c r="A216"/>
    </row>
    <row r="217" spans="1:1" x14ac:dyDescent="0.15">
      <c r="A217"/>
    </row>
    <row r="218" spans="1:1" x14ac:dyDescent="0.15">
      <c r="A218"/>
    </row>
    <row r="219" spans="1:1" x14ac:dyDescent="0.15">
      <c r="A219"/>
    </row>
    <row r="220" spans="1:1" x14ac:dyDescent="0.15">
      <c r="A220"/>
    </row>
    <row r="221" spans="1:1" x14ac:dyDescent="0.15">
      <c r="A221"/>
    </row>
    <row r="222" spans="1:1" x14ac:dyDescent="0.15">
      <c r="A222"/>
    </row>
    <row r="223" spans="1:1" x14ac:dyDescent="0.15">
      <c r="A223"/>
    </row>
    <row r="224" spans="1:1" x14ac:dyDescent="0.15">
      <c r="A224"/>
    </row>
    <row r="225" spans="1:1" x14ac:dyDescent="0.15">
      <c r="A225"/>
    </row>
    <row r="226" spans="1:1" x14ac:dyDescent="0.15">
      <c r="A226"/>
    </row>
    <row r="227" spans="1:1" x14ac:dyDescent="0.15">
      <c r="A227"/>
    </row>
    <row r="228" spans="1:1" x14ac:dyDescent="0.15">
      <c r="A228"/>
    </row>
    <row r="229" spans="1:1" x14ac:dyDescent="0.15">
      <c r="A229"/>
    </row>
    <row r="230" spans="1:1" x14ac:dyDescent="0.15">
      <c r="A230"/>
    </row>
    <row r="231" spans="1:1" x14ac:dyDescent="0.15">
      <c r="A231"/>
    </row>
    <row r="232" spans="1:1" x14ac:dyDescent="0.15">
      <c r="A232"/>
    </row>
    <row r="233" spans="1:1" x14ac:dyDescent="0.15">
      <c r="A233"/>
    </row>
    <row r="234" spans="1:1" x14ac:dyDescent="0.15">
      <c r="A234"/>
    </row>
    <row r="235" spans="1:1" x14ac:dyDescent="0.15">
      <c r="A235"/>
    </row>
    <row r="236" spans="1:1" x14ac:dyDescent="0.15">
      <c r="A236"/>
    </row>
    <row r="237" spans="1:1" x14ac:dyDescent="0.15">
      <c r="A237"/>
    </row>
    <row r="238" spans="1:1" x14ac:dyDescent="0.15">
      <c r="A238"/>
    </row>
    <row r="239" spans="1:1" x14ac:dyDescent="0.15">
      <c r="A239"/>
    </row>
    <row r="240" spans="1:1" x14ac:dyDescent="0.15">
      <c r="A240"/>
    </row>
    <row r="241" spans="1:1" x14ac:dyDescent="0.15">
      <c r="A241"/>
    </row>
    <row r="242" spans="1:1" x14ac:dyDescent="0.15">
      <c r="A242"/>
    </row>
    <row r="243" spans="1:1" x14ac:dyDescent="0.15">
      <c r="A243"/>
    </row>
    <row r="244" spans="1:1" x14ac:dyDescent="0.15">
      <c r="A244"/>
    </row>
    <row r="245" spans="1:1" x14ac:dyDescent="0.15">
      <c r="A245"/>
    </row>
    <row r="246" spans="1:1" x14ac:dyDescent="0.15">
      <c r="A246"/>
    </row>
    <row r="247" spans="1:1" x14ac:dyDescent="0.15">
      <c r="A247"/>
    </row>
    <row r="248" spans="1:1" x14ac:dyDescent="0.15">
      <c r="A248"/>
    </row>
    <row r="249" spans="1:1" x14ac:dyDescent="0.15">
      <c r="A249"/>
    </row>
    <row r="250" spans="1:1" x14ac:dyDescent="0.15">
      <c r="A250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349"/>
  <sheetViews>
    <sheetView tabSelected="1" topLeftCell="A344" zoomScale="110" zoomScaleNormal="110" workbookViewId="0">
      <selection activeCell="A344" sqref="A344"/>
    </sheetView>
  </sheetViews>
  <sheetFormatPr defaultRowHeight="13.5" x14ac:dyDescent="0.15"/>
  <cols>
    <col min="2" max="2" width="11.5" style="6" bestFit="1" customWidth="1"/>
    <col min="7" max="7" width="102.75" customWidth="1"/>
  </cols>
  <sheetData>
    <row r="1" spans="1:7" ht="22.5" customHeight="1" x14ac:dyDescent="0.15">
      <c r="A1" t="s">
        <v>15</v>
      </c>
      <c r="B1" s="6" t="s">
        <v>16</v>
      </c>
      <c r="C1" t="s">
        <v>17</v>
      </c>
      <c r="D1" t="s">
        <v>18</v>
      </c>
      <c r="F1" t="s">
        <v>70</v>
      </c>
      <c r="G1" s="9" t="s">
        <v>69</v>
      </c>
    </row>
    <row r="2" spans="1:7" x14ac:dyDescent="0.15">
      <c r="A2" t="s">
        <v>13</v>
      </c>
      <c r="B2" s="6">
        <v>43521</v>
      </c>
      <c r="C2" t="s">
        <v>11</v>
      </c>
      <c r="D2">
        <v>7</v>
      </c>
      <c r="G2" s="9"/>
    </row>
    <row r="3" spans="1:7" x14ac:dyDescent="0.15">
      <c r="A3" t="s">
        <v>13</v>
      </c>
      <c r="B3" s="6">
        <v>43521</v>
      </c>
      <c r="C3" t="s">
        <v>12</v>
      </c>
      <c r="D3">
        <v>0.5</v>
      </c>
    </row>
    <row r="4" spans="1:7" x14ac:dyDescent="0.15">
      <c r="A4" t="s">
        <v>13</v>
      </c>
      <c r="B4" s="6">
        <v>43522</v>
      </c>
      <c r="C4" t="s">
        <v>11</v>
      </c>
      <c r="D4">
        <v>6.7</v>
      </c>
    </row>
    <row r="5" spans="1:7" x14ac:dyDescent="0.15">
      <c r="A5" t="s">
        <v>13</v>
      </c>
      <c r="B5" s="6">
        <v>43522</v>
      </c>
      <c r="C5" t="s">
        <v>12</v>
      </c>
      <c r="D5">
        <v>0.79999999999999982</v>
      </c>
    </row>
    <row r="6" spans="1:7" x14ac:dyDescent="0.15">
      <c r="A6" t="s">
        <v>13</v>
      </c>
      <c r="B6" s="6">
        <v>43523</v>
      </c>
      <c r="C6" t="s">
        <v>11</v>
      </c>
      <c r="D6">
        <v>4</v>
      </c>
    </row>
    <row r="7" spans="1:7" x14ac:dyDescent="0.15">
      <c r="A7" t="s">
        <v>13</v>
      </c>
      <c r="B7" s="6">
        <v>43523</v>
      </c>
      <c r="C7" t="s">
        <v>12</v>
      </c>
      <c r="D7">
        <v>3.5</v>
      </c>
    </row>
    <row r="8" spans="1:7" x14ac:dyDescent="0.15">
      <c r="A8" t="s">
        <v>13</v>
      </c>
      <c r="B8" s="6">
        <v>43524</v>
      </c>
      <c r="C8" t="s">
        <v>11</v>
      </c>
      <c r="D8">
        <v>4</v>
      </c>
    </row>
    <row r="9" spans="1:7" x14ac:dyDescent="0.15">
      <c r="A9" t="s">
        <v>13</v>
      </c>
      <c r="B9" s="6">
        <v>43524</v>
      </c>
      <c r="C9" t="s">
        <v>12</v>
      </c>
      <c r="D9">
        <v>4</v>
      </c>
    </row>
    <row r="10" spans="1:7" x14ac:dyDescent="0.15">
      <c r="A10" t="s">
        <v>7</v>
      </c>
      <c r="B10" s="6">
        <v>43525</v>
      </c>
      <c r="C10" t="s">
        <v>3</v>
      </c>
      <c r="D10">
        <v>1</v>
      </c>
    </row>
    <row r="11" spans="1:7" x14ac:dyDescent="0.15">
      <c r="A11" t="s">
        <v>7</v>
      </c>
      <c r="B11" s="6">
        <v>43525</v>
      </c>
      <c r="C11" t="s">
        <v>5</v>
      </c>
      <c r="D11">
        <v>4.5</v>
      </c>
    </row>
    <row r="12" spans="1:7" x14ac:dyDescent="0.15">
      <c r="A12" t="s">
        <v>7</v>
      </c>
      <c r="B12" s="6">
        <v>43528</v>
      </c>
      <c r="C12" t="s">
        <v>3</v>
      </c>
      <c r="D12">
        <v>6</v>
      </c>
    </row>
    <row r="13" spans="1:7" x14ac:dyDescent="0.15">
      <c r="A13" t="s">
        <v>7</v>
      </c>
      <c r="B13" s="6">
        <v>43528</v>
      </c>
      <c r="C13" t="s">
        <v>5</v>
      </c>
      <c r="D13">
        <v>2</v>
      </c>
      <c r="F13" t="s">
        <v>50</v>
      </c>
      <c r="G13" t="s">
        <v>71</v>
      </c>
    </row>
    <row r="14" spans="1:7" x14ac:dyDescent="0.15">
      <c r="A14" t="s">
        <v>7</v>
      </c>
      <c r="B14" s="6">
        <v>43529</v>
      </c>
      <c r="C14" t="s">
        <v>3</v>
      </c>
      <c r="D14">
        <v>6.8</v>
      </c>
      <c r="G14" t="s">
        <v>77</v>
      </c>
    </row>
    <row r="15" spans="1:7" x14ac:dyDescent="0.15">
      <c r="A15" t="s">
        <v>7</v>
      </c>
      <c r="B15" s="6">
        <v>43529</v>
      </c>
      <c r="C15" t="s">
        <v>5</v>
      </c>
      <c r="D15">
        <v>0.7</v>
      </c>
      <c r="G15" t="s">
        <v>72</v>
      </c>
    </row>
    <row r="16" spans="1:7" x14ac:dyDescent="0.15">
      <c r="A16" t="s">
        <v>7</v>
      </c>
      <c r="B16" s="6">
        <v>43530</v>
      </c>
      <c r="C16" t="s">
        <v>3</v>
      </c>
      <c r="D16">
        <v>2</v>
      </c>
      <c r="G16" s="4" t="s">
        <v>75</v>
      </c>
    </row>
    <row r="17" spans="1:7" x14ac:dyDescent="0.15">
      <c r="A17" t="s">
        <v>7</v>
      </c>
      <c r="B17" s="6">
        <v>43530</v>
      </c>
      <c r="C17" t="s">
        <v>5</v>
      </c>
      <c r="D17">
        <v>6</v>
      </c>
      <c r="G17" t="s">
        <v>73</v>
      </c>
    </row>
    <row r="18" spans="1:7" x14ac:dyDescent="0.15">
      <c r="A18" t="s">
        <v>7</v>
      </c>
      <c r="B18" s="6">
        <v>43531</v>
      </c>
      <c r="C18" t="s">
        <v>3</v>
      </c>
      <c r="D18">
        <v>4.8</v>
      </c>
      <c r="G18" t="s">
        <v>74</v>
      </c>
    </row>
    <row r="19" spans="1:7" x14ac:dyDescent="0.15">
      <c r="A19" t="s">
        <v>7</v>
      </c>
      <c r="B19" s="6">
        <v>43531</v>
      </c>
      <c r="C19" t="s">
        <v>5</v>
      </c>
      <c r="D19">
        <v>3.2</v>
      </c>
      <c r="G19" t="s">
        <v>76</v>
      </c>
    </row>
    <row r="20" spans="1:7" x14ac:dyDescent="0.15">
      <c r="A20" t="s">
        <v>7</v>
      </c>
      <c r="B20" s="6">
        <v>43532</v>
      </c>
      <c r="C20" t="s">
        <v>3</v>
      </c>
      <c r="D20">
        <v>4</v>
      </c>
    </row>
    <row r="21" spans="1:7" x14ac:dyDescent="0.15">
      <c r="A21" t="s">
        <v>7</v>
      </c>
      <c r="B21" s="6">
        <v>43532</v>
      </c>
      <c r="C21" t="s">
        <v>5</v>
      </c>
      <c r="D21">
        <f>8.5-D20</f>
        <v>4.5</v>
      </c>
    </row>
    <row r="22" spans="1:7" x14ac:dyDescent="0.15">
      <c r="A22" t="s">
        <v>7</v>
      </c>
      <c r="B22" s="6">
        <v>43535</v>
      </c>
      <c r="C22" t="s">
        <v>3</v>
      </c>
      <c r="D22">
        <v>5</v>
      </c>
    </row>
    <row r="23" spans="1:7" x14ac:dyDescent="0.15">
      <c r="A23" t="s">
        <v>7</v>
      </c>
      <c r="B23" s="6">
        <v>43535</v>
      </c>
      <c r="C23" t="s">
        <v>5</v>
      </c>
      <c r="D23">
        <f>6-D22</f>
        <v>1</v>
      </c>
    </row>
    <row r="24" spans="1:7" x14ac:dyDescent="0.15">
      <c r="A24" t="s">
        <v>7</v>
      </c>
      <c r="B24" s="6">
        <v>43536</v>
      </c>
      <c r="C24" t="s">
        <v>3</v>
      </c>
      <c r="D24">
        <v>6.5</v>
      </c>
    </row>
    <row r="25" spans="1:7" x14ac:dyDescent="0.15">
      <c r="A25" t="s">
        <v>7</v>
      </c>
      <c r="B25" s="6">
        <v>43536</v>
      </c>
      <c r="C25" t="s">
        <v>5</v>
      </c>
      <c r="D25">
        <v>1</v>
      </c>
    </row>
    <row r="26" spans="1:7" x14ac:dyDescent="0.15">
      <c r="A26" t="s">
        <v>7</v>
      </c>
      <c r="B26" s="6">
        <v>43537</v>
      </c>
      <c r="C26" t="s">
        <v>3</v>
      </c>
      <c r="D26">
        <v>7.5</v>
      </c>
    </row>
    <row r="27" spans="1:7" x14ac:dyDescent="0.15">
      <c r="A27" t="s">
        <v>7</v>
      </c>
      <c r="B27" s="6">
        <v>43537</v>
      </c>
      <c r="C27" t="s">
        <v>5</v>
      </c>
      <c r="D27">
        <f>9-D26</f>
        <v>1.5</v>
      </c>
    </row>
    <row r="28" spans="1:7" x14ac:dyDescent="0.15">
      <c r="A28" t="s">
        <v>7</v>
      </c>
      <c r="B28" s="6">
        <v>43538</v>
      </c>
      <c r="C28" t="s">
        <v>3</v>
      </c>
      <c r="D28">
        <v>7</v>
      </c>
    </row>
    <row r="29" spans="1:7" x14ac:dyDescent="0.15">
      <c r="A29" t="s">
        <v>7</v>
      </c>
      <c r="B29" s="6">
        <v>43538</v>
      </c>
      <c r="C29" t="s">
        <v>5</v>
      </c>
      <c r="D29">
        <f>9-D28</f>
        <v>2</v>
      </c>
    </row>
    <row r="30" spans="1:7" x14ac:dyDescent="0.15">
      <c r="A30" t="s">
        <v>7</v>
      </c>
      <c r="B30" s="6">
        <v>43539</v>
      </c>
      <c r="C30" t="s">
        <v>3</v>
      </c>
      <c r="D30">
        <v>5.5</v>
      </c>
    </row>
    <row r="31" spans="1:7" x14ac:dyDescent="0.15">
      <c r="A31" t="s">
        <v>7</v>
      </c>
      <c r="B31" s="6">
        <v>43539</v>
      </c>
      <c r="C31" t="s">
        <v>5</v>
      </c>
      <c r="D31">
        <f>10-D30</f>
        <v>4.5</v>
      </c>
    </row>
    <row r="32" spans="1:7" x14ac:dyDescent="0.15">
      <c r="A32" t="s">
        <v>7</v>
      </c>
      <c r="B32" s="6">
        <v>43542</v>
      </c>
      <c r="C32" t="s">
        <v>3</v>
      </c>
      <c r="D32">
        <v>6.5</v>
      </c>
    </row>
    <row r="33" spans="1:4" x14ac:dyDescent="0.15">
      <c r="A33" t="s">
        <v>7</v>
      </c>
      <c r="B33" s="6">
        <v>43542</v>
      </c>
      <c r="C33" t="s">
        <v>5</v>
      </c>
      <c r="D33">
        <v>1</v>
      </c>
    </row>
    <row r="34" spans="1:4" x14ac:dyDescent="0.15">
      <c r="A34" t="s">
        <v>7</v>
      </c>
      <c r="B34" s="6">
        <v>43543</v>
      </c>
      <c r="C34" t="s">
        <v>3</v>
      </c>
      <c r="D34">
        <v>6.5</v>
      </c>
    </row>
    <row r="35" spans="1:4" x14ac:dyDescent="0.15">
      <c r="A35" t="s">
        <v>7</v>
      </c>
      <c r="B35" s="6">
        <v>43543</v>
      </c>
      <c r="C35" t="s">
        <v>5</v>
      </c>
      <c r="D35">
        <v>1</v>
      </c>
    </row>
    <row r="36" spans="1:4" x14ac:dyDescent="0.15">
      <c r="A36" t="s">
        <v>7</v>
      </c>
      <c r="B36" s="6">
        <v>43544</v>
      </c>
      <c r="C36" t="s">
        <v>3</v>
      </c>
      <c r="D36">
        <v>7</v>
      </c>
    </row>
    <row r="37" spans="1:4" x14ac:dyDescent="0.15">
      <c r="A37" t="s">
        <v>7</v>
      </c>
      <c r="B37" s="6">
        <v>43544</v>
      </c>
      <c r="C37" t="s">
        <v>5</v>
      </c>
      <c r="D37">
        <v>2</v>
      </c>
    </row>
    <row r="38" spans="1:4" x14ac:dyDescent="0.15">
      <c r="A38" t="s">
        <v>7</v>
      </c>
      <c r="B38" s="6">
        <v>43545</v>
      </c>
      <c r="C38" t="s">
        <v>3</v>
      </c>
      <c r="D38">
        <v>4.5</v>
      </c>
    </row>
    <row r="39" spans="1:4" x14ac:dyDescent="0.15">
      <c r="A39" t="s">
        <v>7</v>
      </c>
      <c r="B39" s="6">
        <v>43545</v>
      </c>
      <c r="C39" t="s">
        <v>5</v>
      </c>
      <c r="D39">
        <v>0</v>
      </c>
    </row>
    <row r="40" spans="1:4" x14ac:dyDescent="0.15">
      <c r="A40" t="s">
        <v>7</v>
      </c>
      <c r="B40" s="6">
        <f t="shared" ref="B40:B79" si="0">WORKDAY(B38,1)</f>
        <v>43546</v>
      </c>
      <c r="C40" t="s">
        <v>3</v>
      </c>
      <c r="D40">
        <v>1.5</v>
      </c>
    </row>
    <row r="41" spans="1:4" x14ac:dyDescent="0.15">
      <c r="A41" t="s">
        <v>7</v>
      </c>
      <c r="B41" s="6">
        <f t="shared" si="0"/>
        <v>43546</v>
      </c>
      <c r="C41" t="s">
        <v>5</v>
      </c>
      <c r="D41">
        <v>7</v>
      </c>
    </row>
    <row r="42" spans="1:4" x14ac:dyDescent="0.15">
      <c r="A42" t="s">
        <v>7</v>
      </c>
      <c r="B42" s="6">
        <f t="shared" si="0"/>
        <v>43549</v>
      </c>
      <c r="C42" t="s">
        <v>3</v>
      </c>
      <c r="D42">
        <v>9</v>
      </c>
    </row>
    <row r="43" spans="1:4" x14ac:dyDescent="0.15">
      <c r="A43" t="s">
        <v>7</v>
      </c>
      <c r="B43" s="6">
        <f t="shared" si="0"/>
        <v>43549</v>
      </c>
      <c r="C43" t="s">
        <v>5</v>
      </c>
      <c r="D43">
        <v>0.5</v>
      </c>
    </row>
    <row r="44" spans="1:4" x14ac:dyDescent="0.15">
      <c r="A44" t="s">
        <v>7</v>
      </c>
      <c r="B44" s="6">
        <f t="shared" si="0"/>
        <v>43550</v>
      </c>
      <c r="C44" t="s">
        <v>3</v>
      </c>
      <c r="D44">
        <v>4</v>
      </c>
    </row>
    <row r="45" spans="1:4" x14ac:dyDescent="0.15">
      <c r="A45" t="s">
        <v>7</v>
      </c>
      <c r="B45" s="6">
        <f t="shared" si="0"/>
        <v>43550</v>
      </c>
      <c r="C45" t="s">
        <v>5</v>
      </c>
      <c r="D45">
        <v>1.5</v>
      </c>
    </row>
    <row r="46" spans="1:4" x14ac:dyDescent="0.15">
      <c r="A46" t="s">
        <v>7</v>
      </c>
      <c r="B46" s="6">
        <f t="shared" si="0"/>
        <v>43551</v>
      </c>
      <c r="C46" t="s">
        <v>3</v>
      </c>
      <c r="D46">
        <v>5.75</v>
      </c>
    </row>
    <row r="47" spans="1:4" x14ac:dyDescent="0.15">
      <c r="A47" t="s">
        <v>7</v>
      </c>
      <c r="B47" s="6">
        <f t="shared" si="0"/>
        <v>43551</v>
      </c>
      <c r="C47" t="s">
        <v>5</v>
      </c>
      <c r="D47">
        <v>2.25</v>
      </c>
    </row>
    <row r="48" spans="1:4" x14ac:dyDescent="0.15">
      <c r="A48" t="s">
        <v>7</v>
      </c>
      <c r="B48" s="6">
        <f t="shared" si="0"/>
        <v>43552</v>
      </c>
      <c r="C48" t="s">
        <v>3</v>
      </c>
      <c r="D48">
        <v>6.25</v>
      </c>
    </row>
    <row r="49" spans="1:4" x14ac:dyDescent="0.15">
      <c r="A49" t="s">
        <v>7</v>
      </c>
      <c r="B49" s="6">
        <f t="shared" si="0"/>
        <v>43552</v>
      </c>
      <c r="C49" t="s">
        <v>5</v>
      </c>
      <c r="D49">
        <v>2.75</v>
      </c>
    </row>
    <row r="50" spans="1:4" x14ac:dyDescent="0.15">
      <c r="A50" t="s">
        <v>7</v>
      </c>
      <c r="B50" s="6">
        <f t="shared" si="0"/>
        <v>43553</v>
      </c>
      <c r="C50" t="s">
        <v>3</v>
      </c>
      <c r="D50">
        <v>4</v>
      </c>
    </row>
    <row r="51" spans="1:4" x14ac:dyDescent="0.15">
      <c r="A51" t="s">
        <v>7</v>
      </c>
      <c r="B51" s="6">
        <f t="shared" si="0"/>
        <v>43553</v>
      </c>
      <c r="C51" t="s">
        <v>5</v>
      </c>
      <c r="D51">
        <v>3.5</v>
      </c>
    </row>
    <row r="52" spans="1:4" x14ac:dyDescent="0.15">
      <c r="A52" t="s">
        <v>7</v>
      </c>
      <c r="B52" s="6">
        <f t="shared" si="0"/>
        <v>43556</v>
      </c>
      <c r="C52" t="s">
        <v>3</v>
      </c>
      <c r="D52">
        <v>5</v>
      </c>
    </row>
    <row r="53" spans="1:4" x14ac:dyDescent="0.15">
      <c r="A53" t="s">
        <v>7</v>
      </c>
      <c r="B53" s="6">
        <f t="shared" si="0"/>
        <v>43556</v>
      </c>
      <c r="C53" t="s">
        <v>5</v>
      </c>
      <c r="D53">
        <v>2.5</v>
      </c>
    </row>
    <row r="54" spans="1:4" x14ac:dyDescent="0.15">
      <c r="A54" t="s">
        <v>7</v>
      </c>
      <c r="B54" s="6">
        <f t="shared" si="0"/>
        <v>43557</v>
      </c>
      <c r="C54" t="s">
        <v>3</v>
      </c>
      <c r="D54">
        <v>6</v>
      </c>
    </row>
    <row r="55" spans="1:4" x14ac:dyDescent="0.15">
      <c r="A55" t="s">
        <v>7</v>
      </c>
      <c r="B55" s="6">
        <f t="shared" si="0"/>
        <v>43557</v>
      </c>
      <c r="C55" t="s">
        <v>5</v>
      </c>
      <c r="D55">
        <v>0.5</v>
      </c>
    </row>
    <row r="56" spans="1:4" x14ac:dyDescent="0.15">
      <c r="A56" t="s">
        <v>7</v>
      </c>
      <c r="B56" s="6">
        <f t="shared" si="0"/>
        <v>43558</v>
      </c>
      <c r="C56" t="s">
        <v>3</v>
      </c>
      <c r="D56">
        <v>5.75</v>
      </c>
    </row>
    <row r="57" spans="1:4" x14ac:dyDescent="0.15">
      <c r="A57" t="s">
        <v>7</v>
      </c>
      <c r="B57" s="6">
        <f t="shared" si="0"/>
        <v>43558</v>
      </c>
      <c r="C57" t="s">
        <v>5</v>
      </c>
      <c r="D57">
        <v>1.75</v>
      </c>
    </row>
    <row r="58" spans="1:4" x14ac:dyDescent="0.15">
      <c r="A58" t="s">
        <v>7</v>
      </c>
      <c r="B58" s="6">
        <f t="shared" si="0"/>
        <v>43559</v>
      </c>
      <c r="C58" t="s">
        <v>3</v>
      </c>
      <c r="D58">
        <v>5.75</v>
      </c>
    </row>
    <row r="59" spans="1:4" x14ac:dyDescent="0.15">
      <c r="A59" t="s">
        <v>7</v>
      </c>
      <c r="B59" s="6">
        <f t="shared" si="0"/>
        <v>43559</v>
      </c>
      <c r="C59" t="s">
        <v>5</v>
      </c>
      <c r="D59">
        <v>1.75</v>
      </c>
    </row>
    <row r="60" spans="1:4" x14ac:dyDescent="0.15">
      <c r="A60" t="s">
        <v>7</v>
      </c>
      <c r="B60" s="6">
        <f t="shared" si="0"/>
        <v>43560</v>
      </c>
      <c r="C60" t="s">
        <v>3</v>
      </c>
    </row>
    <row r="61" spans="1:4" x14ac:dyDescent="0.15">
      <c r="A61" t="s">
        <v>7</v>
      </c>
      <c r="B61" s="6">
        <f t="shared" si="0"/>
        <v>43560</v>
      </c>
      <c r="C61" t="s">
        <v>5</v>
      </c>
    </row>
    <row r="62" spans="1:4" x14ac:dyDescent="0.15">
      <c r="A62" t="s">
        <v>7</v>
      </c>
      <c r="B62" s="6">
        <f t="shared" si="0"/>
        <v>43563</v>
      </c>
      <c r="C62" t="s">
        <v>3</v>
      </c>
    </row>
    <row r="63" spans="1:4" x14ac:dyDescent="0.15">
      <c r="A63" t="s">
        <v>7</v>
      </c>
      <c r="B63" s="6">
        <f t="shared" si="0"/>
        <v>43563</v>
      </c>
      <c r="C63" t="s">
        <v>5</v>
      </c>
    </row>
    <row r="64" spans="1:4" x14ac:dyDescent="0.15">
      <c r="A64" t="s">
        <v>7</v>
      </c>
      <c r="B64" s="6">
        <f t="shared" si="0"/>
        <v>43564</v>
      </c>
      <c r="C64" t="s">
        <v>3</v>
      </c>
    </row>
    <row r="65" spans="1:4" x14ac:dyDescent="0.15">
      <c r="A65" t="s">
        <v>7</v>
      </c>
      <c r="B65" s="6">
        <f t="shared" si="0"/>
        <v>43564</v>
      </c>
      <c r="C65" t="s">
        <v>5</v>
      </c>
      <c r="D65">
        <v>7.5</v>
      </c>
    </row>
    <row r="66" spans="1:4" x14ac:dyDescent="0.15">
      <c r="A66" t="s">
        <v>7</v>
      </c>
      <c r="B66" s="6">
        <f t="shared" si="0"/>
        <v>43565</v>
      </c>
      <c r="C66" t="s">
        <v>3</v>
      </c>
      <c r="D66">
        <v>3.75</v>
      </c>
    </row>
    <row r="67" spans="1:4" x14ac:dyDescent="0.15">
      <c r="A67" t="s">
        <v>7</v>
      </c>
      <c r="B67" s="6">
        <f t="shared" si="0"/>
        <v>43565</v>
      </c>
      <c r="C67" t="s">
        <v>5</v>
      </c>
      <c r="D67">
        <v>3.75</v>
      </c>
    </row>
    <row r="68" spans="1:4" x14ac:dyDescent="0.15">
      <c r="A68" t="s">
        <v>7</v>
      </c>
      <c r="B68" s="6">
        <f t="shared" si="0"/>
        <v>43566</v>
      </c>
      <c r="C68" t="s">
        <v>3</v>
      </c>
      <c r="D68">
        <v>3.5</v>
      </c>
    </row>
    <row r="69" spans="1:4" x14ac:dyDescent="0.15">
      <c r="A69" t="s">
        <v>7</v>
      </c>
      <c r="B69" s="6">
        <f t="shared" si="0"/>
        <v>43566</v>
      </c>
      <c r="C69" t="s">
        <v>5</v>
      </c>
      <c r="D69">
        <v>1</v>
      </c>
    </row>
    <row r="70" spans="1:4" x14ac:dyDescent="0.15">
      <c r="A70" t="s">
        <v>7</v>
      </c>
      <c r="B70" s="6">
        <f t="shared" si="0"/>
        <v>43567</v>
      </c>
      <c r="C70" t="s">
        <v>3</v>
      </c>
      <c r="D70">
        <v>3</v>
      </c>
    </row>
    <row r="71" spans="1:4" x14ac:dyDescent="0.15">
      <c r="A71" t="s">
        <v>7</v>
      </c>
      <c r="B71" s="6">
        <f t="shared" si="0"/>
        <v>43567</v>
      </c>
      <c r="C71" t="s">
        <v>5</v>
      </c>
      <c r="D71">
        <v>5</v>
      </c>
    </row>
    <row r="72" spans="1:4" x14ac:dyDescent="0.15">
      <c r="A72" t="s">
        <v>7</v>
      </c>
      <c r="B72" s="6">
        <f t="shared" si="0"/>
        <v>43570</v>
      </c>
      <c r="C72" t="s">
        <v>3</v>
      </c>
      <c r="D72">
        <v>5.5</v>
      </c>
    </row>
    <row r="73" spans="1:4" x14ac:dyDescent="0.15">
      <c r="A73" t="s">
        <v>7</v>
      </c>
      <c r="B73" s="6">
        <f t="shared" si="0"/>
        <v>43570</v>
      </c>
      <c r="C73" t="s">
        <v>5</v>
      </c>
      <c r="D73">
        <v>2</v>
      </c>
    </row>
    <row r="74" spans="1:4" x14ac:dyDescent="0.15">
      <c r="A74" t="s">
        <v>7</v>
      </c>
      <c r="B74" s="6">
        <f t="shared" si="0"/>
        <v>43571</v>
      </c>
      <c r="C74" t="s">
        <v>3</v>
      </c>
      <c r="D74">
        <v>5.5</v>
      </c>
    </row>
    <row r="75" spans="1:4" x14ac:dyDescent="0.15">
      <c r="A75" t="s">
        <v>7</v>
      </c>
      <c r="B75" s="6">
        <f t="shared" si="0"/>
        <v>43571</v>
      </c>
      <c r="C75" t="s">
        <v>5</v>
      </c>
      <c r="D75">
        <v>2.5</v>
      </c>
    </row>
    <row r="76" spans="1:4" x14ac:dyDescent="0.15">
      <c r="A76" t="s">
        <v>7</v>
      </c>
      <c r="B76" s="6">
        <f t="shared" si="0"/>
        <v>43572</v>
      </c>
      <c r="C76" t="s">
        <v>3</v>
      </c>
    </row>
    <row r="77" spans="1:4" x14ac:dyDescent="0.15">
      <c r="A77" t="s">
        <v>7</v>
      </c>
      <c r="B77" s="6">
        <f t="shared" si="0"/>
        <v>43572</v>
      </c>
      <c r="C77" t="s">
        <v>5</v>
      </c>
    </row>
    <row r="78" spans="1:4" x14ac:dyDescent="0.15">
      <c r="A78" t="s">
        <v>7</v>
      </c>
      <c r="B78" s="6">
        <f t="shared" si="0"/>
        <v>43573</v>
      </c>
      <c r="C78" t="s">
        <v>3</v>
      </c>
    </row>
    <row r="79" spans="1:4" x14ac:dyDescent="0.15">
      <c r="A79" t="s">
        <v>7</v>
      </c>
      <c r="B79" s="6">
        <f t="shared" si="0"/>
        <v>43573</v>
      </c>
      <c r="C79" t="s">
        <v>5</v>
      </c>
    </row>
    <row r="80" spans="1:4" x14ac:dyDescent="0.15">
      <c r="A80" t="s">
        <v>47</v>
      </c>
      <c r="B80" s="6">
        <v>43599</v>
      </c>
      <c r="C80" t="s">
        <v>2</v>
      </c>
      <c r="D80">
        <v>1.25</v>
      </c>
    </row>
    <row r="81" spans="1:4" x14ac:dyDescent="0.15">
      <c r="A81" t="s">
        <v>47</v>
      </c>
      <c r="B81" s="6">
        <v>43599</v>
      </c>
      <c r="C81" t="s">
        <v>4</v>
      </c>
      <c r="D81">
        <v>0.25</v>
      </c>
    </row>
    <row r="82" spans="1:4" x14ac:dyDescent="0.15">
      <c r="A82" t="s">
        <v>14</v>
      </c>
      <c r="B82" s="6">
        <v>43521</v>
      </c>
      <c r="C82" t="s">
        <v>11</v>
      </c>
      <c r="D82">
        <v>0</v>
      </c>
    </row>
    <row r="83" spans="1:4" x14ac:dyDescent="0.15">
      <c r="A83" t="s">
        <v>14</v>
      </c>
      <c r="B83" s="6">
        <v>43521</v>
      </c>
      <c r="C83" t="s">
        <v>12</v>
      </c>
      <c r="D83">
        <v>0</v>
      </c>
    </row>
    <row r="84" spans="1:4" x14ac:dyDescent="0.15">
      <c r="A84" t="s">
        <v>14</v>
      </c>
      <c r="B84" s="6">
        <v>43522</v>
      </c>
      <c r="C84" t="s">
        <v>11</v>
      </c>
      <c r="D84">
        <v>5.5</v>
      </c>
    </row>
    <row r="85" spans="1:4" x14ac:dyDescent="0.15">
      <c r="A85" t="s">
        <v>14</v>
      </c>
      <c r="B85" s="6">
        <v>43522</v>
      </c>
      <c r="C85" t="s">
        <v>12</v>
      </c>
      <c r="D85">
        <v>2</v>
      </c>
    </row>
    <row r="86" spans="1:4" x14ac:dyDescent="0.15">
      <c r="A86" t="s">
        <v>14</v>
      </c>
      <c r="B86" s="6">
        <v>43523</v>
      </c>
      <c r="C86" t="s">
        <v>11</v>
      </c>
      <c r="D86">
        <v>3</v>
      </c>
    </row>
    <row r="87" spans="1:4" x14ac:dyDescent="0.15">
      <c r="A87" t="s">
        <v>14</v>
      </c>
      <c r="B87" s="6">
        <v>43523</v>
      </c>
      <c r="C87" t="s">
        <v>12</v>
      </c>
      <c r="D87">
        <v>3.5</v>
      </c>
    </row>
    <row r="88" spans="1:4" x14ac:dyDescent="0.15">
      <c r="A88" t="s">
        <v>14</v>
      </c>
      <c r="B88" s="6">
        <v>43524</v>
      </c>
      <c r="C88" t="s">
        <v>11</v>
      </c>
      <c r="D88">
        <v>5</v>
      </c>
    </row>
    <row r="89" spans="1:4" x14ac:dyDescent="0.15">
      <c r="A89" t="s">
        <v>14</v>
      </c>
      <c r="B89" s="6">
        <v>43524</v>
      </c>
      <c r="C89" t="s">
        <v>12</v>
      </c>
      <c r="D89">
        <v>2.5</v>
      </c>
    </row>
    <row r="90" spans="1:4" x14ac:dyDescent="0.15">
      <c r="A90" t="s">
        <v>14</v>
      </c>
      <c r="B90" s="6">
        <v>43525</v>
      </c>
      <c r="C90" t="s">
        <v>11</v>
      </c>
      <c r="D90">
        <v>3.8</v>
      </c>
    </row>
    <row r="91" spans="1:4" x14ac:dyDescent="0.15">
      <c r="A91" t="s">
        <v>14</v>
      </c>
      <c r="B91" s="6">
        <v>43525</v>
      </c>
      <c r="C91" t="s">
        <v>12</v>
      </c>
      <c r="D91">
        <v>3.7</v>
      </c>
    </row>
    <row r="92" spans="1:4" x14ac:dyDescent="0.15">
      <c r="A92" t="s">
        <v>14</v>
      </c>
      <c r="B92" s="6">
        <v>43528</v>
      </c>
      <c r="C92" t="s">
        <v>11</v>
      </c>
      <c r="D92">
        <v>4.5</v>
      </c>
    </row>
    <row r="93" spans="1:4" x14ac:dyDescent="0.15">
      <c r="A93" t="s">
        <v>14</v>
      </c>
      <c r="B93" s="6">
        <v>43528</v>
      </c>
      <c r="C93" t="s">
        <v>12</v>
      </c>
      <c r="D93">
        <v>3.5</v>
      </c>
    </row>
    <row r="94" spans="1:4" x14ac:dyDescent="0.15">
      <c r="A94" t="s">
        <v>14</v>
      </c>
      <c r="B94" s="6">
        <v>43529</v>
      </c>
      <c r="C94" t="s">
        <v>11</v>
      </c>
      <c r="D94">
        <v>5.5</v>
      </c>
    </row>
    <row r="95" spans="1:4" x14ac:dyDescent="0.15">
      <c r="A95" t="s">
        <v>14</v>
      </c>
      <c r="B95" s="6">
        <v>43529</v>
      </c>
      <c r="C95" t="s">
        <v>12</v>
      </c>
      <c r="D95">
        <v>3</v>
      </c>
    </row>
    <row r="96" spans="1:4" x14ac:dyDescent="0.15">
      <c r="A96" t="s">
        <v>14</v>
      </c>
      <c r="B96" s="6">
        <v>43530</v>
      </c>
      <c r="C96" t="s">
        <v>11</v>
      </c>
      <c r="D96">
        <v>6.2</v>
      </c>
    </row>
    <row r="97" spans="1:4" x14ac:dyDescent="0.15">
      <c r="A97" t="s">
        <v>14</v>
      </c>
      <c r="B97" s="6">
        <v>43530</v>
      </c>
      <c r="C97" t="s">
        <v>12</v>
      </c>
      <c r="D97">
        <f>8-D96</f>
        <v>1.7999999999999998</v>
      </c>
    </row>
    <row r="98" spans="1:4" x14ac:dyDescent="0.15">
      <c r="A98" t="s">
        <v>14</v>
      </c>
      <c r="B98" s="6">
        <v>43531</v>
      </c>
      <c r="C98" t="s">
        <v>11</v>
      </c>
      <c r="D98">
        <v>3</v>
      </c>
    </row>
    <row r="99" spans="1:4" x14ac:dyDescent="0.15">
      <c r="A99" t="s">
        <v>14</v>
      </c>
      <c r="B99" s="6">
        <v>43531</v>
      </c>
      <c r="C99" t="s">
        <v>12</v>
      </c>
      <c r="D99">
        <f>7.8-D98</f>
        <v>4.8</v>
      </c>
    </row>
    <row r="100" spans="1:4" x14ac:dyDescent="0.15">
      <c r="A100" t="s">
        <v>14</v>
      </c>
      <c r="B100" s="6">
        <v>43532</v>
      </c>
      <c r="C100" t="s">
        <v>11</v>
      </c>
      <c r="D100">
        <v>4.5</v>
      </c>
    </row>
    <row r="101" spans="1:4" x14ac:dyDescent="0.15">
      <c r="A101" t="s">
        <v>14</v>
      </c>
      <c r="B101" s="6">
        <v>43532</v>
      </c>
      <c r="C101" t="s">
        <v>12</v>
      </c>
      <c r="D101">
        <f>7.5-D100</f>
        <v>3</v>
      </c>
    </row>
    <row r="102" spans="1:4" x14ac:dyDescent="0.15">
      <c r="A102" t="s">
        <v>14</v>
      </c>
      <c r="B102" s="6">
        <v>43535</v>
      </c>
      <c r="C102" t="s">
        <v>11</v>
      </c>
      <c r="D102">
        <v>3</v>
      </c>
    </row>
    <row r="103" spans="1:4" x14ac:dyDescent="0.15">
      <c r="A103" t="s">
        <v>14</v>
      </c>
      <c r="B103" s="6">
        <v>43535</v>
      </c>
      <c r="C103" t="s">
        <v>12</v>
      </c>
      <c r="D103">
        <f>8-D102</f>
        <v>5</v>
      </c>
    </row>
    <row r="104" spans="1:4" x14ac:dyDescent="0.15">
      <c r="A104" t="s">
        <v>14</v>
      </c>
      <c r="B104" s="6">
        <v>43536</v>
      </c>
      <c r="C104" t="s">
        <v>3</v>
      </c>
      <c r="D104">
        <v>6</v>
      </c>
    </row>
    <row r="105" spans="1:4" x14ac:dyDescent="0.15">
      <c r="A105" t="s">
        <v>14</v>
      </c>
      <c r="B105" s="6">
        <v>43536</v>
      </c>
      <c r="C105" t="s">
        <v>5</v>
      </c>
      <c r="D105">
        <v>1.5</v>
      </c>
    </row>
    <row r="106" spans="1:4" x14ac:dyDescent="0.15">
      <c r="A106" t="s">
        <v>14</v>
      </c>
      <c r="B106" s="6">
        <v>43537</v>
      </c>
      <c r="C106" t="s">
        <v>3</v>
      </c>
      <c r="D106">
        <v>5.5</v>
      </c>
    </row>
    <row r="107" spans="1:4" x14ac:dyDescent="0.15">
      <c r="A107" t="s">
        <v>14</v>
      </c>
      <c r="B107" s="6">
        <v>43537</v>
      </c>
      <c r="C107" t="s">
        <v>5</v>
      </c>
      <c r="D107">
        <f>7.5-D106</f>
        <v>2</v>
      </c>
    </row>
    <row r="108" spans="1:4" x14ac:dyDescent="0.15">
      <c r="A108" t="s">
        <v>14</v>
      </c>
      <c r="B108" s="6">
        <v>43538</v>
      </c>
      <c r="C108" t="s">
        <v>3</v>
      </c>
      <c r="D108">
        <v>6.5</v>
      </c>
    </row>
    <row r="109" spans="1:4" x14ac:dyDescent="0.15">
      <c r="A109" t="s">
        <v>14</v>
      </c>
      <c r="B109" s="6">
        <v>43538</v>
      </c>
      <c r="C109" t="s">
        <v>5</v>
      </c>
      <c r="D109">
        <f>7.75-D108</f>
        <v>1.25</v>
      </c>
    </row>
    <row r="110" spans="1:4" x14ac:dyDescent="0.15">
      <c r="A110" t="s">
        <v>14</v>
      </c>
      <c r="B110" s="6">
        <v>43539</v>
      </c>
      <c r="C110" t="s">
        <v>3</v>
      </c>
      <c r="D110">
        <v>5.5</v>
      </c>
    </row>
    <row r="111" spans="1:4" x14ac:dyDescent="0.15">
      <c r="A111" t="s">
        <v>14</v>
      </c>
      <c r="B111" s="6">
        <v>43539</v>
      </c>
      <c r="C111" t="s">
        <v>5</v>
      </c>
      <c r="D111">
        <v>2.25</v>
      </c>
    </row>
    <row r="112" spans="1:4" x14ac:dyDescent="0.15">
      <c r="A112" t="s">
        <v>14</v>
      </c>
      <c r="B112" s="6">
        <v>43542</v>
      </c>
      <c r="C112" t="s">
        <v>3</v>
      </c>
      <c r="D112">
        <v>6</v>
      </c>
    </row>
    <row r="113" spans="1:4" x14ac:dyDescent="0.15">
      <c r="A113" t="s">
        <v>14</v>
      </c>
      <c r="B113" s="6">
        <v>43542</v>
      </c>
      <c r="C113" t="s">
        <v>5</v>
      </c>
      <c r="D113">
        <v>1.5</v>
      </c>
    </row>
    <row r="114" spans="1:4" x14ac:dyDescent="0.15">
      <c r="A114" t="s">
        <v>14</v>
      </c>
      <c r="B114" s="6">
        <v>43543</v>
      </c>
      <c r="C114" t="s">
        <v>3</v>
      </c>
      <c r="D114">
        <v>5.5</v>
      </c>
    </row>
    <row r="115" spans="1:4" x14ac:dyDescent="0.15">
      <c r="A115" t="s">
        <v>14</v>
      </c>
      <c r="B115" s="6">
        <v>43543</v>
      </c>
      <c r="C115" t="s">
        <v>5</v>
      </c>
      <c r="D115">
        <v>2</v>
      </c>
    </row>
    <row r="116" spans="1:4" x14ac:dyDescent="0.15">
      <c r="A116" t="s">
        <v>14</v>
      </c>
      <c r="B116" s="6">
        <v>43544</v>
      </c>
      <c r="C116" t="s">
        <v>3</v>
      </c>
      <c r="D116">
        <v>6</v>
      </c>
    </row>
    <row r="117" spans="1:4" x14ac:dyDescent="0.15">
      <c r="A117" t="s">
        <v>14</v>
      </c>
      <c r="B117" s="6">
        <v>43544</v>
      </c>
      <c r="C117" t="s">
        <v>5</v>
      </c>
      <c r="D117">
        <v>1.75</v>
      </c>
    </row>
    <row r="118" spans="1:4" x14ac:dyDescent="0.15">
      <c r="A118" t="s">
        <v>14</v>
      </c>
      <c r="B118" s="6">
        <v>43545</v>
      </c>
      <c r="C118" t="s">
        <v>3</v>
      </c>
    </row>
    <row r="119" spans="1:4" x14ac:dyDescent="0.15">
      <c r="A119" t="s">
        <v>14</v>
      </c>
      <c r="B119" s="6">
        <v>43545</v>
      </c>
      <c r="C119" t="s">
        <v>5</v>
      </c>
    </row>
    <row r="120" spans="1:4" x14ac:dyDescent="0.15">
      <c r="A120" t="s">
        <v>14</v>
      </c>
      <c r="B120" s="6">
        <f t="shared" ref="B120:B159" si="1">WORKDAY(B118,1)</f>
        <v>43546</v>
      </c>
      <c r="C120" t="s">
        <v>3</v>
      </c>
    </row>
    <row r="121" spans="1:4" x14ac:dyDescent="0.15">
      <c r="A121" t="s">
        <v>14</v>
      </c>
      <c r="B121" s="6">
        <f t="shared" si="1"/>
        <v>43546</v>
      </c>
      <c r="C121" t="s">
        <v>5</v>
      </c>
    </row>
    <row r="122" spans="1:4" x14ac:dyDescent="0.15">
      <c r="A122" t="s">
        <v>14</v>
      </c>
      <c r="B122" s="6">
        <f t="shared" si="1"/>
        <v>43549</v>
      </c>
      <c r="C122" t="s">
        <v>3</v>
      </c>
      <c r="D122">
        <v>5.5</v>
      </c>
    </row>
    <row r="123" spans="1:4" x14ac:dyDescent="0.15">
      <c r="A123" t="s">
        <v>14</v>
      </c>
      <c r="B123" s="6">
        <f t="shared" si="1"/>
        <v>43549</v>
      </c>
      <c r="C123" t="s">
        <v>5</v>
      </c>
      <c r="D123">
        <v>2.5</v>
      </c>
    </row>
    <row r="124" spans="1:4" x14ac:dyDescent="0.15">
      <c r="A124" t="s">
        <v>14</v>
      </c>
      <c r="B124" s="6">
        <f t="shared" si="1"/>
        <v>43550</v>
      </c>
      <c r="C124" t="s">
        <v>3</v>
      </c>
      <c r="D124">
        <v>2</v>
      </c>
    </row>
    <row r="125" spans="1:4" x14ac:dyDescent="0.15">
      <c r="A125" t="s">
        <v>14</v>
      </c>
      <c r="B125" s="6">
        <f t="shared" si="1"/>
        <v>43550</v>
      </c>
      <c r="C125" t="s">
        <v>5</v>
      </c>
      <c r="D125">
        <v>2</v>
      </c>
    </row>
    <row r="126" spans="1:4" x14ac:dyDescent="0.15">
      <c r="A126" t="s">
        <v>14</v>
      </c>
      <c r="B126" s="6">
        <f t="shared" si="1"/>
        <v>43551</v>
      </c>
      <c r="C126" t="s">
        <v>3</v>
      </c>
      <c r="D126">
        <v>3</v>
      </c>
    </row>
    <row r="127" spans="1:4" x14ac:dyDescent="0.15">
      <c r="A127" t="s">
        <v>14</v>
      </c>
      <c r="B127" s="6">
        <f t="shared" si="1"/>
        <v>43551</v>
      </c>
      <c r="C127" t="s">
        <v>5</v>
      </c>
      <c r="D127">
        <v>2.5</v>
      </c>
    </row>
    <row r="128" spans="1:4" x14ac:dyDescent="0.15">
      <c r="A128" t="s">
        <v>14</v>
      </c>
      <c r="B128" s="6">
        <f t="shared" si="1"/>
        <v>43552</v>
      </c>
      <c r="C128" t="s">
        <v>3</v>
      </c>
      <c r="D128">
        <v>2.75</v>
      </c>
    </row>
    <row r="129" spans="1:4" x14ac:dyDescent="0.15">
      <c r="A129" t="s">
        <v>14</v>
      </c>
      <c r="B129" s="6">
        <f t="shared" si="1"/>
        <v>43552</v>
      </c>
      <c r="C129" t="s">
        <v>5</v>
      </c>
      <c r="D129">
        <v>6.25</v>
      </c>
    </row>
    <row r="130" spans="1:4" x14ac:dyDescent="0.15">
      <c r="A130" t="s">
        <v>14</v>
      </c>
      <c r="B130" s="6">
        <f t="shared" si="1"/>
        <v>43553</v>
      </c>
      <c r="C130" t="s">
        <v>3</v>
      </c>
      <c r="D130">
        <v>6</v>
      </c>
    </row>
    <row r="131" spans="1:4" x14ac:dyDescent="0.15">
      <c r="A131" t="s">
        <v>14</v>
      </c>
      <c r="B131" s="6">
        <f t="shared" si="1"/>
        <v>43553</v>
      </c>
      <c r="C131" t="s">
        <v>5</v>
      </c>
      <c r="D131">
        <v>3</v>
      </c>
    </row>
    <row r="132" spans="1:4" x14ac:dyDescent="0.15">
      <c r="A132" t="s">
        <v>14</v>
      </c>
      <c r="B132" s="6">
        <f t="shared" si="1"/>
        <v>43556</v>
      </c>
      <c r="C132" t="s">
        <v>3</v>
      </c>
      <c r="D132">
        <v>6</v>
      </c>
    </row>
    <row r="133" spans="1:4" x14ac:dyDescent="0.15">
      <c r="A133" t="s">
        <v>14</v>
      </c>
      <c r="B133" s="6">
        <f t="shared" si="1"/>
        <v>43556</v>
      </c>
      <c r="C133" t="s">
        <v>5</v>
      </c>
      <c r="D133">
        <v>2</v>
      </c>
    </row>
    <row r="134" spans="1:4" x14ac:dyDescent="0.15">
      <c r="A134" t="s">
        <v>14</v>
      </c>
      <c r="B134" s="6">
        <f t="shared" si="1"/>
        <v>43557</v>
      </c>
      <c r="C134" t="s">
        <v>3</v>
      </c>
    </row>
    <row r="135" spans="1:4" x14ac:dyDescent="0.15">
      <c r="A135" t="s">
        <v>14</v>
      </c>
      <c r="B135" s="6">
        <f t="shared" si="1"/>
        <v>43557</v>
      </c>
      <c r="C135" t="s">
        <v>5</v>
      </c>
    </row>
    <row r="136" spans="1:4" x14ac:dyDescent="0.15">
      <c r="A136" t="s">
        <v>14</v>
      </c>
      <c r="B136" s="6">
        <f t="shared" si="1"/>
        <v>43558</v>
      </c>
      <c r="C136" t="s">
        <v>3</v>
      </c>
      <c r="D136">
        <v>6.5</v>
      </c>
    </row>
    <row r="137" spans="1:4" x14ac:dyDescent="0.15">
      <c r="A137" t="s">
        <v>14</v>
      </c>
      <c r="B137" s="6">
        <f t="shared" si="1"/>
        <v>43558</v>
      </c>
      <c r="C137" t="s">
        <v>5</v>
      </c>
      <c r="D137">
        <v>1.25</v>
      </c>
    </row>
    <row r="138" spans="1:4" x14ac:dyDescent="0.15">
      <c r="A138" t="s">
        <v>14</v>
      </c>
      <c r="B138" s="6">
        <f t="shared" si="1"/>
        <v>43559</v>
      </c>
      <c r="C138" t="s">
        <v>3</v>
      </c>
      <c r="D138">
        <v>4.25</v>
      </c>
    </row>
    <row r="139" spans="1:4" x14ac:dyDescent="0.15">
      <c r="A139" t="s">
        <v>14</v>
      </c>
      <c r="B139" s="6">
        <f t="shared" si="1"/>
        <v>43559</v>
      </c>
      <c r="C139" t="s">
        <v>5</v>
      </c>
      <c r="D139">
        <v>3.25</v>
      </c>
    </row>
    <row r="140" spans="1:4" x14ac:dyDescent="0.15">
      <c r="A140" t="s">
        <v>14</v>
      </c>
      <c r="B140" s="6">
        <f t="shared" si="1"/>
        <v>43560</v>
      </c>
      <c r="C140" t="s">
        <v>3</v>
      </c>
      <c r="D140">
        <v>6.75</v>
      </c>
    </row>
    <row r="141" spans="1:4" x14ac:dyDescent="0.15">
      <c r="A141" t="s">
        <v>14</v>
      </c>
      <c r="B141" s="6">
        <f t="shared" si="1"/>
        <v>43560</v>
      </c>
      <c r="C141" t="s">
        <v>5</v>
      </c>
      <c r="D141">
        <v>2.25</v>
      </c>
    </row>
    <row r="142" spans="1:4" x14ac:dyDescent="0.15">
      <c r="A142" t="s">
        <v>14</v>
      </c>
      <c r="B142" s="6">
        <f t="shared" si="1"/>
        <v>43563</v>
      </c>
      <c r="C142" t="s">
        <v>3</v>
      </c>
      <c r="D142">
        <v>2</v>
      </c>
    </row>
    <row r="143" spans="1:4" x14ac:dyDescent="0.15">
      <c r="A143" t="s">
        <v>14</v>
      </c>
      <c r="B143" s="6">
        <f t="shared" si="1"/>
        <v>43563</v>
      </c>
      <c r="C143" t="s">
        <v>5</v>
      </c>
      <c r="D143">
        <v>3</v>
      </c>
    </row>
    <row r="144" spans="1:4" x14ac:dyDescent="0.15">
      <c r="A144" t="s">
        <v>14</v>
      </c>
      <c r="B144" s="6">
        <f t="shared" si="1"/>
        <v>43564</v>
      </c>
      <c r="C144" t="s">
        <v>3</v>
      </c>
    </row>
    <row r="145" spans="1:4" x14ac:dyDescent="0.15">
      <c r="A145" t="s">
        <v>14</v>
      </c>
      <c r="B145" s="6">
        <f t="shared" si="1"/>
        <v>43564</v>
      </c>
      <c r="C145" t="s">
        <v>5</v>
      </c>
    </row>
    <row r="146" spans="1:4" x14ac:dyDescent="0.15">
      <c r="A146" t="s">
        <v>14</v>
      </c>
      <c r="B146" s="6">
        <f t="shared" si="1"/>
        <v>43565</v>
      </c>
      <c r="C146" t="s">
        <v>3</v>
      </c>
      <c r="D146">
        <v>5.25</v>
      </c>
    </row>
    <row r="147" spans="1:4" x14ac:dyDescent="0.15">
      <c r="A147" t="s">
        <v>14</v>
      </c>
      <c r="B147" s="6">
        <f t="shared" si="1"/>
        <v>43565</v>
      </c>
      <c r="C147" t="s">
        <v>5</v>
      </c>
      <c r="D147">
        <v>3.25</v>
      </c>
    </row>
    <row r="148" spans="1:4" x14ac:dyDescent="0.15">
      <c r="A148" t="s">
        <v>14</v>
      </c>
      <c r="B148" s="6">
        <f t="shared" si="1"/>
        <v>43566</v>
      </c>
      <c r="C148" t="s">
        <v>3</v>
      </c>
      <c r="D148">
        <v>7</v>
      </c>
    </row>
    <row r="149" spans="1:4" x14ac:dyDescent="0.15">
      <c r="A149" t="s">
        <v>14</v>
      </c>
      <c r="B149" s="6">
        <f t="shared" si="1"/>
        <v>43566</v>
      </c>
      <c r="C149" t="s">
        <v>5</v>
      </c>
      <c r="D149">
        <v>0.5</v>
      </c>
    </row>
    <row r="150" spans="1:4" x14ac:dyDescent="0.15">
      <c r="A150" t="s">
        <v>14</v>
      </c>
      <c r="B150" s="6">
        <f t="shared" si="1"/>
        <v>43567</v>
      </c>
      <c r="C150" t="s">
        <v>3</v>
      </c>
      <c r="D150">
        <v>5.6</v>
      </c>
    </row>
    <row r="151" spans="1:4" x14ac:dyDescent="0.15">
      <c r="A151" t="s">
        <v>14</v>
      </c>
      <c r="B151" s="6">
        <f t="shared" si="1"/>
        <v>43567</v>
      </c>
      <c r="C151" t="s">
        <v>5</v>
      </c>
      <c r="D151">
        <v>3</v>
      </c>
    </row>
    <row r="152" spans="1:4" x14ac:dyDescent="0.15">
      <c r="A152" t="s">
        <v>14</v>
      </c>
      <c r="B152" s="6">
        <f t="shared" si="1"/>
        <v>43570</v>
      </c>
      <c r="C152" t="s">
        <v>3</v>
      </c>
      <c r="D152">
        <v>7.25</v>
      </c>
    </row>
    <row r="153" spans="1:4" x14ac:dyDescent="0.15">
      <c r="A153" t="s">
        <v>14</v>
      </c>
      <c r="B153" s="6">
        <f t="shared" si="1"/>
        <v>43570</v>
      </c>
      <c r="C153" t="s">
        <v>5</v>
      </c>
      <c r="D153">
        <v>0.75</v>
      </c>
    </row>
    <row r="154" spans="1:4" x14ac:dyDescent="0.15">
      <c r="A154" t="s">
        <v>14</v>
      </c>
      <c r="B154" s="6">
        <f t="shared" si="1"/>
        <v>43571</v>
      </c>
      <c r="C154" t="s">
        <v>3</v>
      </c>
      <c r="D154">
        <v>7.6</v>
      </c>
    </row>
    <row r="155" spans="1:4" x14ac:dyDescent="0.15">
      <c r="A155" t="s">
        <v>14</v>
      </c>
      <c r="B155" s="6">
        <f t="shared" si="1"/>
        <v>43571</v>
      </c>
      <c r="C155" t="s">
        <v>5</v>
      </c>
      <c r="D155">
        <v>0.9</v>
      </c>
    </row>
    <row r="156" spans="1:4" x14ac:dyDescent="0.15">
      <c r="A156" t="s">
        <v>14</v>
      </c>
      <c r="B156" s="6">
        <f t="shared" si="1"/>
        <v>43572</v>
      </c>
      <c r="C156" t="s">
        <v>3</v>
      </c>
    </row>
    <row r="157" spans="1:4" x14ac:dyDescent="0.15">
      <c r="A157" t="s">
        <v>14</v>
      </c>
      <c r="B157" s="6">
        <f t="shared" si="1"/>
        <v>43572</v>
      </c>
      <c r="C157" t="s">
        <v>5</v>
      </c>
    </row>
    <row r="158" spans="1:4" x14ac:dyDescent="0.15">
      <c r="A158" t="s">
        <v>14</v>
      </c>
      <c r="B158" s="6">
        <f t="shared" si="1"/>
        <v>43573</v>
      </c>
      <c r="C158" t="s">
        <v>3</v>
      </c>
    </row>
    <row r="159" spans="1:4" x14ac:dyDescent="0.15">
      <c r="A159" t="s">
        <v>14</v>
      </c>
      <c r="B159" s="6">
        <f t="shared" si="1"/>
        <v>43573</v>
      </c>
      <c r="C159" t="s">
        <v>5</v>
      </c>
    </row>
    <row r="160" spans="1:4" x14ac:dyDescent="0.15">
      <c r="A160" t="s">
        <v>14</v>
      </c>
      <c r="B160" s="6">
        <v>43594</v>
      </c>
      <c r="C160" t="s">
        <v>37</v>
      </c>
      <c r="D160">
        <v>1</v>
      </c>
    </row>
    <row r="161" spans="1:4" x14ac:dyDescent="0.15">
      <c r="A161" t="s">
        <v>36</v>
      </c>
      <c r="B161" s="6">
        <v>43594</v>
      </c>
      <c r="C161" t="s">
        <v>38</v>
      </c>
      <c r="D161">
        <v>0</v>
      </c>
    </row>
    <row r="162" spans="1:4" x14ac:dyDescent="0.15">
      <c r="A162" t="s">
        <v>6</v>
      </c>
      <c r="B162" s="6">
        <v>43595</v>
      </c>
      <c r="C162" t="s">
        <v>2</v>
      </c>
      <c r="D162">
        <v>5.5</v>
      </c>
    </row>
    <row r="163" spans="1:4" x14ac:dyDescent="0.15">
      <c r="A163" t="s">
        <v>6</v>
      </c>
      <c r="B163" s="6">
        <v>43595</v>
      </c>
      <c r="C163" t="s">
        <v>4</v>
      </c>
      <c r="D163">
        <v>0.75</v>
      </c>
    </row>
    <row r="164" spans="1:4" x14ac:dyDescent="0.15">
      <c r="A164" t="s">
        <v>6</v>
      </c>
      <c r="B164" s="6">
        <v>43598</v>
      </c>
      <c r="C164" t="s">
        <v>2</v>
      </c>
      <c r="D164">
        <v>7.5</v>
      </c>
    </row>
    <row r="165" spans="1:4" x14ac:dyDescent="0.15">
      <c r="A165" t="s">
        <v>6</v>
      </c>
      <c r="B165" s="6">
        <v>43598</v>
      </c>
      <c r="C165" t="s">
        <v>4</v>
      </c>
      <c r="D165">
        <v>0</v>
      </c>
    </row>
    <row r="166" spans="1:4" x14ac:dyDescent="0.15">
      <c r="A166" t="s">
        <v>6</v>
      </c>
      <c r="B166" s="6">
        <v>43599</v>
      </c>
      <c r="C166" t="s">
        <v>2</v>
      </c>
      <c r="D166">
        <v>3</v>
      </c>
    </row>
    <row r="167" spans="1:4" x14ac:dyDescent="0.15">
      <c r="A167" t="s">
        <v>6</v>
      </c>
      <c r="B167" s="6">
        <v>43599</v>
      </c>
      <c r="C167" t="s">
        <v>4</v>
      </c>
      <c r="D167">
        <v>0.25</v>
      </c>
    </row>
    <row r="168" spans="1:4" x14ac:dyDescent="0.15">
      <c r="A168" t="s">
        <v>9</v>
      </c>
      <c r="B168" s="6">
        <v>43521</v>
      </c>
      <c r="C168" t="s">
        <v>11</v>
      </c>
      <c r="D168">
        <v>6.25</v>
      </c>
    </row>
    <row r="169" spans="1:4" x14ac:dyDescent="0.15">
      <c r="A169" t="s">
        <v>9</v>
      </c>
      <c r="B169" s="6">
        <v>43521</v>
      </c>
      <c r="C169" t="s">
        <v>12</v>
      </c>
      <c r="D169">
        <v>0.5</v>
      </c>
    </row>
    <row r="170" spans="1:4" x14ac:dyDescent="0.15">
      <c r="A170" t="s">
        <v>9</v>
      </c>
      <c r="B170" s="6">
        <v>43522</v>
      </c>
      <c r="C170" t="s">
        <v>11</v>
      </c>
      <c r="D170">
        <v>6</v>
      </c>
    </row>
    <row r="171" spans="1:4" x14ac:dyDescent="0.15">
      <c r="A171" t="s">
        <v>9</v>
      </c>
      <c r="B171" s="6">
        <v>43522</v>
      </c>
      <c r="C171" t="s">
        <v>12</v>
      </c>
      <c r="D171">
        <v>1</v>
      </c>
    </row>
    <row r="172" spans="1:4" x14ac:dyDescent="0.15">
      <c r="A172" t="s">
        <v>9</v>
      </c>
      <c r="B172" s="6">
        <v>43523</v>
      </c>
      <c r="C172" t="s">
        <v>11</v>
      </c>
      <c r="D172">
        <v>4.5</v>
      </c>
    </row>
    <row r="173" spans="1:4" x14ac:dyDescent="0.15">
      <c r="A173" t="s">
        <v>9</v>
      </c>
      <c r="B173" s="6">
        <v>43523</v>
      </c>
      <c r="C173" t="s">
        <v>12</v>
      </c>
      <c r="D173">
        <v>3</v>
      </c>
    </row>
    <row r="174" spans="1:4" x14ac:dyDescent="0.15">
      <c r="A174" t="s">
        <v>9</v>
      </c>
      <c r="B174" s="6">
        <v>43524</v>
      </c>
      <c r="C174" t="s">
        <v>11</v>
      </c>
      <c r="D174">
        <v>1</v>
      </c>
    </row>
    <row r="175" spans="1:4" x14ac:dyDescent="0.15">
      <c r="A175" t="s">
        <v>9</v>
      </c>
      <c r="B175" s="6">
        <v>43524</v>
      </c>
      <c r="C175" t="s">
        <v>12</v>
      </c>
      <c r="D175">
        <v>6.5</v>
      </c>
    </row>
    <row r="176" spans="1:4" x14ac:dyDescent="0.15">
      <c r="A176" t="s">
        <v>9</v>
      </c>
      <c r="B176" s="6">
        <v>43525</v>
      </c>
      <c r="C176" t="s">
        <v>11</v>
      </c>
      <c r="D176">
        <v>0</v>
      </c>
    </row>
    <row r="177" spans="1:4" x14ac:dyDescent="0.15">
      <c r="A177" t="s">
        <v>9</v>
      </c>
      <c r="B177" s="6">
        <v>43525</v>
      </c>
      <c r="C177" t="s">
        <v>12</v>
      </c>
      <c r="D177">
        <v>7.5</v>
      </c>
    </row>
    <row r="178" spans="1:4" x14ac:dyDescent="0.15">
      <c r="A178" t="s">
        <v>9</v>
      </c>
      <c r="B178" s="6">
        <v>43528</v>
      </c>
      <c r="C178" t="s">
        <v>11</v>
      </c>
      <c r="D178">
        <v>0</v>
      </c>
    </row>
    <row r="179" spans="1:4" x14ac:dyDescent="0.15">
      <c r="A179" t="s">
        <v>9</v>
      </c>
      <c r="B179" s="6">
        <v>43528</v>
      </c>
      <c r="C179" t="s">
        <v>12</v>
      </c>
      <c r="D179">
        <v>0</v>
      </c>
    </row>
    <row r="180" spans="1:4" x14ac:dyDescent="0.15">
      <c r="A180" t="s">
        <v>9</v>
      </c>
      <c r="B180" s="6">
        <v>43529</v>
      </c>
      <c r="C180" t="s">
        <v>11</v>
      </c>
      <c r="D180">
        <v>4.3</v>
      </c>
    </row>
    <row r="181" spans="1:4" x14ac:dyDescent="0.15">
      <c r="A181" t="s">
        <v>9</v>
      </c>
      <c r="B181" s="6">
        <v>43529</v>
      </c>
      <c r="C181" t="s">
        <v>12</v>
      </c>
      <c r="D181">
        <f>8.5-D180</f>
        <v>4.2</v>
      </c>
    </row>
    <row r="182" spans="1:4" x14ac:dyDescent="0.15">
      <c r="A182" t="s">
        <v>9</v>
      </c>
      <c r="B182" s="6">
        <v>43530</v>
      </c>
      <c r="C182" t="s">
        <v>11</v>
      </c>
      <c r="D182">
        <v>6.8</v>
      </c>
    </row>
    <row r="183" spans="1:4" x14ac:dyDescent="0.15">
      <c r="A183" t="s">
        <v>9</v>
      </c>
      <c r="B183" s="6">
        <v>43530</v>
      </c>
      <c r="C183" t="s">
        <v>12</v>
      </c>
      <c r="D183">
        <f>8-D182</f>
        <v>1.2000000000000002</v>
      </c>
    </row>
    <row r="184" spans="1:4" x14ac:dyDescent="0.15">
      <c r="A184" t="s">
        <v>9</v>
      </c>
      <c r="B184" s="6">
        <v>43531</v>
      </c>
      <c r="C184" t="s">
        <v>11</v>
      </c>
      <c r="D184">
        <v>6</v>
      </c>
    </row>
    <row r="185" spans="1:4" x14ac:dyDescent="0.15">
      <c r="A185" t="s">
        <v>9</v>
      </c>
      <c r="B185" s="6">
        <v>43531</v>
      </c>
      <c r="C185" t="s">
        <v>12</v>
      </c>
      <c r="D185">
        <v>1.5</v>
      </c>
    </row>
    <row r="186" spans="1:4" x14ac:dyDescent="0.15">
      <c r="A186" t="s">
        <v>9</v>
      </c>
      <c r="B186" s="6">
        <v>43532</v>
      </c>
      <c r="C186" t="s">
        <v>11</v>
      </c>
      <c r="D186">
        <v>3.5</v>
      </c>
    </row>
    <row r="187" spans="1:4" x14ac:dyDescent="0.15">
      <c r="A187" t="s">
        <v>9</v>
      </c>
      <c r="B187" s="6">
        <v>43532</v>
      </c>
      <c r="C187" t="s">
        <v>12</v>
      </c>
      <c r="D187">
        <f>7.5-D186</f>
        <v>4</v>
      </c>
    </row>
    <row r="188" spans="1:4" x14ac:dyDescent="0.15">
      <c r="A188" t="s">
        <v>9</v>
      </c>
      <c r="B188" s="6">
        <v>43535</v>
      </c>
      <c r="C188" t="s">
        <v>11</v>
      </c>
      <c r="D188">
        <v>4.5</v>
      </c>
    </row>
    <row r="189" spans="1:4" x14ac:dyDescent="0.15">
      <c r="A189" t="s">
        <v>9</v>
      </c>
      <c r="B189" s="6">
        <v>43535</v>
      </c>
      <c r="C189" t="s">
        <v>12</v>
      </c>
      <c r="D189">
        <f>7.5-D188</f>
        <v>3</v>
      </c>
    </row>
    <row r="190" spans="1:4" x14ac:dyDescent="0.15">
      <c r="A190" t="s">
        <v>9</v>
      </c>
      <c r="B190" s="6">
        <v>43536</v>
      </c>
      <c r="C190" t="s">
        <v>3</v>
      </c>
      <c r="D190">
        <v>5.5</v>
      </c>
    </row>
    <row r="191" spans="1:4" x14ac:dyDescent="0.15">
      <c r="A191" t="s">
        <v>9</v>
      </c>
      <c r="B191" s="6">
        <v>43536</v>
      </c>
      <c r="C191" t="s">
        <v>5</v>
      </c>
      <c r="D191">
        <v>1.5</v>
      </c>
    </row>
    <row r="192" spans="1:4" x14ac:dyDescent="0.15">
      <c r="A192" t="s">
        <v>9</v>
      </c>
      <c r="B192" s="6">
        <v>43537</v>
      </c>
      <c r="C192" t="s">
        <v>3</v>
      </c>
      <c r="D192">
        <v>6.5</v>
      </c>
    </row>
    <row r="193" spans="1:4" x14ac:dyDescent="0.15">
      <c r="A193" t="s">
        <v>9</v>
      </c>
      <c r="B193" s="6">
        <v>43537</v>
      </c>
      <c r="C193" t="s">
        <v>5</v>
      </c>
      <c r="D193">
        <f>8.3-D192</f>
        <v>1.8000000000000007</v>
      </c>
    </row>
    <row r="194" spans="1:4" x14ac:dyDescent="0.15">
      <c r="A194" t="s">
        <v>9</v>
      </c>
      <c r="B194" s="6">
        <v>43538</v>
      </c>
      <c r="C194" t="s">
        <v>3</v>
      </c>
      <c r="D194">
        <v>5</v>
      </c>
    </row>
    <row r="195" spans="1:4" x14ac:dyDescent="0.15">
      <c r="A195" t="s">
        <v>9</v>
      </c>
      <c r="B195" s="6">
        <v>43538</v>
      </c>
      <c r="C195" t="s">
        <v>5</v>
      </c>
      <c r="D195">
        <f>8-D194</f>
        <v>3</v>
      </c>
    </row>
    <row r="196" spans="1:4" x14ac:dyDescent="0.15">
      <c r="A196" t="s">
        <v>9</v>
      </c>
      <c r="B196" s="6">
        <v>43539</v>
      </c>
      <c r="C196" t="s">
        <v>3</v>
      </c>
      <c r="D196">
        <v>4</v>
      </c>
    </row>
    <row r="197" spans="1:4" x14ac:dyDescent="0.15">
      <c r="A197" t="s">
        <v>9</v>
      </c>
      <c r="B197" s="6">
        <v>43539</v>
      </c>
      <c r="C197" t="s">
        <v>5</v>
      </c>
      <c r="D197">
        <f>8-D196</f>
        <v>4</v>
      </c>
    </row>
    <row r="198" spans="1:4" x14ac:dyDescent="0.15">
      <c r="A198" t="s">
        <v>9</v>
      </c>
      <c r="B198" s="6">
        <v>43542</v>
      </c>
      <c r="C198" t="s">
        <v>3</v>
      </c>
      <c r="D198">
        <v>5</v>
      </c>
    </row>
    <row r="199" spans="1:4" x14ac:dyDescent="0.15">
      <c r="A199" t="s">
        <v>9</v>
      </c>
      <c r="B199" s="6">
        <v>43542</v>
      </c>
      <c r="C199" t="s">
        <v>5</v>
      </c>
      <c r="D199">
        <v>2.5</v>
      </c>
    </row>
    <row r="200" spans="1:4" x14ac:dyDescent="0.15">
      <c r="A200" t="s">
        <v>9</v>
      </c>
      <c r="B200" s="6">
        <v>43543</v>
      </c>
      <c r="C200" t="s">
        <v>3</v>
      </c>
      <c r="D200">
        <v>0</v>
      </c>
    </row>
    <row r="201" spans="1:4" x14ac:dyDescent="0.15">
      <c r="A201" t="s">
        <v>9</v>
      </c>
      <c r="B201" s="6">
        <v>43543</v>
      </c>
      <c r="C201" t="s">
        <v>5</v>
      </c>
      <c r="D201">
        <v>8</v>
      </c>
    </row>
    <row r="202" spans="1:4" x14ac:dyDescent="0.15">
      <c r="A202" t="s">
        <v>9</v>
      </c>
      <c r="B202" s="6">
        <v>43544</v>
      </c>
      <c r="C202" t="s">
        <v>3</v>
      </c>
    </row>
    <row r="203" spans="1:4" x14ac:dyDescent="0.15">
      <c r="A203" t="s">
        <v>9</v>
      </c>
      <c r="B203" s="6">
        <v>43544</v>
      </c>
      <c r="C203" t="s">
        <v>5</v>
      </c>
    </row>
    <row r="204" spans="1:4" x14ac:dyDescent="0.15">
      <c r="A204" t="s">
        <v>9</v>
      </c>
      <c r="B204" s="6">
        <v>43545</v>
      </c>
      <c r="C204" t="s">
        <v>3</v>
      </c>
    </row>
    <row r="205" spans="1:4" x14ac:dyDescent="0.15">
      <c r="A205" t="s">
        <v>9</v>
      </c>
      <c r="B205" s="6">
        <v>43545</v>
      </c>
      <c r="C205" t="s">
        <v>5</v>
      </c>
    </row>
    <row r="206" spans="1:4" x14ac:dyDescent="0.15">
      <c r="A206" t="s">
        <v>9</v>
      </c>
      <c r="B206" s="6">
        <f t="shared" ref="B206:B245" si="2">WORKDAY(B204,1)</f>
        <v>43546</v>
      </c>
      <c r="C206" t="s">
        <v>3</v>
      </c>
    </row>
    <row r="207" spans="1:4" x14ac:dyDescent="0.15">
      <c r="A207" t="s">
        <v>9</v>
      </c>
      <c r="B207" s="6">
        <f t="shared" si="2"/>
        <v>43546</v>
      </c>
      <c r="C207" t="s">
        <v>5</v>
      </c>
    </row>
    <row r="208" spans="1:4" x14ac:dyDescent="0.15">
      <c r="A208" t="s">
        <v>9</v>
      </c>
      <c r="B208" s="6">
        <f t="shared" si="2"/>
        <v>43549</v>
      </c>
      <c r="C208" t="s">
        <v>3</v>
      </c>
      <c r="D208">
        <v>8.25</v>
      </c>
    </row>
    <row r="209" spans="1:4" x14ac:dyDescent="0.15">
      <c r="A209" t="s">
        <v>9</v>
      </c>
      <c r="B209" s="6">
        <f t="shared" si="2"/>
        <v>43549</v>
      </c>
      <c r="C209" t="s">
        <v>5</v>
      </c>
      <c r="D209">
        <v>1.75</v>
      </c>
    </row>
    <row r="210" spans="1:4" x14ac:dyDescent="0.15">
      <c r="A210" t="s">
        <v>9</v>
      </c>
      <c r="B210" s="6">
        <f t="shared" si="2"/>
        <v>43550</v>
      </c>
      <c r="C210" t="s">
        <v>3</v>
      </c>
      <c r="D210">
        <v>5</v>
      </c>
    </row>
    <row r="211" spans="1:4" x14ac:dyDescent="0.15">
      <c r="A211" t="s">
        <v>9</v>
      </c>
      <c r="B211" s="6">
        <f t="shared" si="2"/>
        <v>43550</v>
      </c>
      <c r="C211" t="s">
        <v>5</v>
      </c>
      <c r="D211">
        <v>2.5</v>
      </c>
    </row>
    <row r="212" spans="1:4" x14ac:dyDescent="0.15">
      <c r="A212" t="s">
        <v>9</v>
      </c>
      <c r="B212" s="6">
        <f t="shared" si="2"/>
        <v>43551</v>
      </c>
      <c r="C212" t="s">
        <v>3</v>
      </c>
      <c r="D212">
        <v>6</v>
      </c>
    </row>
    <row r="213" spans="1:4" x14ac:dyDescent="0.15">
      <c r="A213" t="s">
        <v>9</v>
      </c>
      <c r="B213" s="6">
        <f t="shared" si="2"/>
        <v>43551</v>
      </c>
      <c r="C213" t="s">
        <v>5</v>
      </c>
      <c r="D213">
        <v>1.5</v>
      </c>
    </row>
    <row r="214" spans="1:4" x14ac:dyDescent="0.15">
      <c r="A214" t="s">
        <v>9</v>
      </c>
      <c r="B214" s="6">
        <f t="shared" si="2"/>
        <v>43552</v>
      </c>
      <c r="C214" t="s">
        <v>3</v>
      </c>
      <c r="D214">
        <v>6</v>
      </c>
    </row>
    <row r="215" spans="1:4" x14ac:dyDescent="0.15">
      <c r="A215" t="s">
        <v>9</v>
      </c>
      <c r="B215" s="6">
        <f t="shared" si="2"/>
        <v>43552</v>
      </c>
      <c r="C215" t="s">
        <v>5</v>
      </c>
      <c r="D215">
        <v>1.5</v>
      </c>
    </row>
    <row r="216" spans="1:4" x14ac:dyDescent="0.15">
      <c r="A216" t="s">
        <v>9</v>
      </c>
      <c r="B216" s="6">
        <f t="shared" si="2"/>
        <v>43553</v>
      </c>
      <c r="C216" t="s">
        <v>3</v>
      </c>
      <c r="D216">
        <v>6</v>
      </c>
    </row>
    <row r="217" spans="1:4" x14ac:dyDescent="0.15">
      <c r="A217" t="s">
        <v>9</v>
      </c>
      <c r="B217" s="6">
        <f t="shared" si="2"/>
        <v>43553</v>
      </c>
      <c r="C217" t="s">
        <v>5</v>
      </c>
      <c r="D217">
        <v>2.5</v>
      </c>
    </row>
    <row r="218" spans="1:4" x14ac:dyDescent="0.15">
      <c r="A218" t="s">
        <v>9</v>
      </c>
      <c r="B218" s="6">
        <f t="shared" si="2"/>
        <v>43556</v>
      </c>
      <c r="C218" t="s">
        <v>3</v>
      </c>
      <c r="D218">
        <v>4</v>
      </c>
    </row>
    <row r="219" spans="1:4" x14ac:dyDescent="0.15">
      <c r="A219" t="s">
        <v>9</v>
      </c>
      <c r="B219" s="6">
        <f t="shared" si="2"/>
        <v>43556</v>
      </c>
      <c r="C219" t="s">
        <v>5</v>
      </c>
      <c r="D219">
        <v>4</v>
      </c>
    </row>
    <row r="220" spans="1:4" x14ac:dyDescent="0.15">
      <c r="A220" t="s">
        <v>9</v>
      </c>
      <c r="B220" s="6">
        <f t="shared" si="2"/>
        <v>43557</v>
      </c>
      <c r="C220" t="s">
        <v>3</v>
      </c>
      <c r="D220">
        <v>6</v>
      </c>
    </row>
    <row r="221" spans="1:4" x14ac:dyDescent="0.15">
      <c r="A221" t="s">
        <v>9</v>
      </c>
      <c r="B221" s="6">
        <f t="shared" si="2"/>
        <v>43557</v>
      </c>
      <c r="C221" t="s">
        <v>5</v>
      </c>
      <c r="D221">
        <v>2</v>
      </c>
    </row>
    <row r="222" spans="1:4" x14ac:dyDescent="0.15">
      <c r="A222" t="s">
        <v>9</v>
      </c>
      <c r="B222" s="6">
        <f t="shared" si="2"/>
        <v>43558</v>
      </c>
      <c r="C222" t="s">
        <v>3</v>
      </c>
      <c r="D222">
        <v>6.5</v>
      </c>
    </row>
    <row r="223" spans="1:4" x14ac:dyDescent="0.15">
      <c r="A223" t="s">
        <v>9</v>
      </c>
      <c r="B223" s="6">
        <f t="shared" si="2"/>
        <v>43558</v>
      </c>
      <c r="C223" t="s">
        <v>5</v>
      </c>
      <c r="D223">
        <v>1.25</v>
      </c>
    </row>
    <row r="224" spans="1:4" x14ac:dyDescent="0.15">
      <c r="A224" t="s">
        <v>9</v>
      </c>
      <c r="B224" s="6">
        <f t="shared" si="2"/>
        <v>43559</v>
      </c>
      <c r="C224" t="s">
        <v>3</v>
      </c>
      <c r="D224">
        <v>5.5</v>
      </c>
    </row>
    <row r="225" spans="1:4" x14ac:dyDescent="0.15">
      <c r="A225" t="s">
        <v>9</v>
      </c>
      <c r="B225" s="6">
        <f t="shared" si="2"/>
        <v>43559</v>
      </c>
      <c r="C225" t="s">
        <v>5</v>
      </c>
      <c r="D225">
        <v>2</v>
      </c>
    </row>
    <row r="226" spans="1:4" x14ac:dyDescent="0.15">
      <c r="A226" t="s">
        <v>9</v>
      </c>
      <c r="B226" s="6">
        <f t="shared" si="2"/>
        <v>43560</v>
      </c>
      <c r="C226" t="s">
        <v>3</v>
      </c>
      <c r="D226">
        <v>6</v>
      </c>
    </row>
    <row r="227" spans="1:4" x14ac:dyDescent="0.15">
      <c r="A227" t="s">
        <v>9</v>
      </c>
      <c r="B227" s="6">
        <f t="shared" si="2"/>
        <v>43560</v>
      </c>
      <c r="C227" t="s">
        <v>5</v>
      </c>
      <c r="D227">
        <v>1.5</v>
      </c>
    </row>
    <row r="228" spans="1:4" x14ac:dyDescent="0.15">
      <c r="A228" t="s">
        <v>9</v>
      </c>
      <c r="B228" s="6">
        <f t="shared" si="2"/>
        <v>43563</v>
      </c>
      <c r="C228" t="s">
        <v>3</v>
      </c>
      <c r="D228">
        <v>5.5</v>
      </c>
    </row>
    <row r="229" spans="1:4" x14ac:dyDescent="0.15">
      <c r="A229" t="s">
        <v>9</v>
      </c>
      <c r="B229" s="6">
        <f t="shared" si="2"/>
        <v>43563</v>
      </c>
      <c r="C229" t="s">
        <v>5</v>
      </c>
      <c r="D229">
        <v>2</v>
      </c>
    </row>
    <row r="230" spans="1:4" x14ac:dyDescent="0.15">
      <c r="A230" t="s">
        <v>9</v>
      </c>
      <c r="B230" s="6">
        <f t="shared" si="2"/>
        <v>43564</v>
      </c>
      <c r="C230" t="s">
        <v>3</v>
      </c>
    </row>
    <row r="231" spans="1:4" x14ac:dyDescent="0.15">
      <c r="A231" t="s">
        <v>9</v>
      </c>
      <c r="B231" s="6">
        <f t="shared" si="2"/>
        <v>43564</v>
      </c>
      <c r="C231" t="s">
        <v>5</v>
      </c>
    </row>
    <row r="232" spans="1:4" x14ac:dyDescent="0.15">
      <c r="A232" t="s">
        <v>9</v>
      </c>
      <c r="B232" s="6">
        <f t="shared" si="2"/>
        <v>43565</v>
      </c>
      <c r="C232" t="s">
        <v>3</v>
      </c>
      <c r="D232">
        <v>5.25</v>
      </c>
    </row>
    <row r="233" spans="1:4" x14ac:dyDescent="0.15">
      <c r="A233" t="s">
        <v>9</v>
      </c>
      <c r="B233" s="6">
        <f t="shared" si="2"/>
        <v>43565</v>
      </c>
      <c r="C233" t="s">
        <v>5</v>
      </c>
      <c r="D233">
        <v>2.25</v>
      </c>
    </row>
    <row r="234" spans="1:4" x14ac:dyDescent="0.15">
      <c r="A234" t="s">
        <v>9</v>
      </c>
      <c r="B234" s="6">
        <f t="shared" si="2"/>
        <v>43566</v>
      </c>
      <c r="C234" t="s">
        <v>3</v>
      </c>
      <c r="D234">
        <v>5.35</v>
      </c>
    </row>
    <row r="235" spans="1:4" x14ac:dyDescent="0.15">
      <c r="A235" t="s">
        <v>9</v>
      </c>
      <c r="B235" s="6">
        <f t="shared" si="2"/>
        <v>43566</v>
      </c>
      <c r="C235" t="s">
        <v>5</v>
      </c>
      <c r="D235">
        <v>2.15</v>
      </c>
    </row>
    <row r="236" spans="1:4" x14ac:dyDescent="0.15">
      <c r="A236" t="s">
        <v>9</v>
      </c>
      <c r="B236" s="6">
        <f t="shared" si="2"/>
        <v>43567</v>
      </c>
      <c r="C236" t="s">
        <v>3</v>
      </c>
      <c r="D236">
        <v>5.4</v>
      </c>
    </row>
    <row r="237" spans="1:4" x14ac:dyDescent="0.15">
      <c r="A237" t="s">
        <v>9</v>
      </c>
      <c r="B237" s="6">
        <f t="shared" si="2"/>
        <v>43567</v>
      </c>
      <c r="C237" t="s">
        <v>5</v>
      </c>
      <c r="D237">
        <v>2.1</v>
      </c>
    </row>
    <row r="238" spans="1:4" x14ac:dyDescent="0.15">
      <c r="A238" t="s">
        <v>9</v>
      </c>
      <c r="B238" s="6">
        <f t="shared" si="2"/>
        <v>43570</v>
      </c>
      <c r="C238" t="s">
        <v>3</v>
      </c>
      <c r="D238">
        <v>5.2</v>
      </c>
    </row>
    <row r="239" spans="1:4" x14ac:dyDescent="0.15">
      <c r="A239" t="s">
        <v>9</v>
      </c>
      <c r="B239" s="6">
        <f t="shared" si="2"/>
        <v>43570</v>
      </c>
      <c r="C239" t="s">
        <v>5</v>
      </c>
      <c r="D239">
        <v>2.2999999999999998</v>
      </c>
    </row>
    <row r="240" spans="1:4" x14ac:dyDescent="0.15">
      <c r="A240" t="s">
        <v>9</v>
      </c>
      <c r="B240" s="6">
        <f t="shared" si="2"/>
        <v>43571</v>
      </c>
      <c r="C240" t="s">
        <v>3</v>
      </c>
      <c r="D240">
        <v>5.4</v>
      </c>
    </row>
    <row r="241" spans="1:4" x14ac:dyDescent="0.15">
      <c r="A241" t="s">
        <v>9</v>
      </c>
      <c r="B241" s="6">
        <f t="shared" si="2"/>
        <v>43571</v>
      </c>
      <c r="C241" t="s">
        <v>5</v>
      </c>
      <c r="D241">
        <v>2.1</v>
      </c>
    </row>
    <row r="242" spans="1:4" x14ac:dyDescent="0.15">
      <c r="A242" t="s">
        <v>9</v>
      </c>
      <c r="B242" s="6">
        <f t="shared" si="2"/>
        <v>43572</v>
      </c>
      <c r="C242" t="s">
        <v>3</v>
      </c>
    </row>
    <row r="243" spans="1:4" x14ac:dyDescent="0.15">
      <c r="A243" t="s">
        <v>9</v>
      </c>
      <c r="B243" s="6">
        <f t="shared" si="2"/>
        <v>43572</v>
      </c>
      <c r="C243" t="s">
        <v>5</v>
      </c>
    </row>
    <row r="244" spans="1:4" x14ac:dyDescent="0.15">
      <c r="A244" t="s">
        <v>9</v>
      </c>
      <c r="B244" s="6">
        <f t="shared" si="2"/>
        <v>43573</v>
      </c>
      <c r="C244" t="s">
        <v>3</v>
      </c>
    </row>
    <row r="245" spans="1:4" x14ac:dyDescent="0.15">
      <c r="A245" t="s">
        <v>9</v>
      </c>
      <c r="B245" s="6">
        <f t="shared" si="2"/>
        <v>43573</v>
      </c>
      <c r="C245" t="s">
        <v>5</v>
      </c>
    </row>
    <row r="246" spans="1:4" x14ac:dyDescent="0.15">
      <c r="A246" t="s">
        <v>8</v>
      </c>
      <c r="B246" s="6">
        <v>43592</v>
      </c>
      <c r="C246" t="s">
        <v>2</v>
      </c>
      <c r="D246">
        <v>7</v>
      </c>
    </row>
    <row r="247" spans="1:4" x14ac:dyDescent="0.15">
      <c r="A247" t="s">
        <v>8</v>
      </c>
      <c r="B247" s="6">
        <v>43592</v>
      </c>
      <c r="C247" t="s">
        <v>4</v>
      </c>
      <c r="D247">
        <v>0.5</v>
      </c>
    </row>
    <row r="248" spans="1:4" x14ac:dyDescent="0.15">
      <c r="A248" t="s">
        <v>43</v>
      </c>
      <c r="B248" s="6">
        <v>43595</v>
      </c>
      <c r="C248" t="s">
        <v>44</v>
      </c>
      <c r="D248">
        <v>5.25</v>
      </c>
    </row>
    <row r="249" spans="1:4" x14ac:dyDescent="0.15">
      <c r="A249" t="s">
        <v>45</v>
      </c>
      <c r="B249" s="6">
        <v>43595</v>
      </c>
      <c r="C249" t="s">
        <v>46</v>
      </c>
      <c r="D249">
        <v>1.25</v>
      </c>
    </row>
    <row r="250" spans="1:4" x14ac:dyDescent="0.15">
      <c r="A250" t="s">
        <v>43</v>
      </c>
      <c r="B250" s="6">
        <v>43598</v>
      </c>
      <c r="C250" t="s">
        <v>44</v>
      </c>
      <c r="D250">
        <v>5</v>
      </c>
    </row>
    <row r="251" spans="1:4" x14ac:dyDescent="0.15">
      <c r="A251" t="s">
        <v>45</v>
      </c>
      <c r="B251" s="6">
        <v>43598</v>
      </c>
      <c r="C251" t="s">
        <v>46</v>
      </c>
      <c r="D251">
        <v>2.5</v>
      </c>
    </row>
    <row r="252" spans="1:4" x14ac:dyDescent="0.15">
      <c r="A252" t="s">
        <v>10</v>
      </c>
      <c r="B252" s="6">
        <v>43521</v>
      </c>
      <c r="C252" t="s">
        <v>11</v>
      </c>
      <c r="D252">
        <v>0</v>
      </c>
    </row>
    <row r="253" spans="1:4" x14ac:dyDescent="0.15">
      <c r="A253" t="s">
        <v>10</v>
      </c>
      <c r="B253" s="6">
        <v>43521</v>
      </c>
      <c r="C253" t="s">
        <v>12</v>
      </c>
      <c r="D253">
        <v>0</v>
      </c>
    </row>
    <row r="254" spans="1:4" x14ac:dyDescent="0.15">
      <c r="A254" t="s">
        <v>10</v>
      </c>
      <c r="B254" s="6">
        <v>43522</v>
      </c>
      <c r="C254" t="s">
        <v>11</v>
      </c>
      <c r="D254">
        <v>5.5</v>
      </c>
    </row>
    <row r="255" spans="1:4" x14ac:dyDescent="0.15">
      <c r="A255" t="s">
        <v>10</v>
      </c>
      <c r="B255" s="6">
        <v>43522</v>
      </c>
      <c r="C255" t="s">
        <v>12</v>
      </c>
      <c r="D255">
        <v>2</v>
      </c>
    </row>
    <row r="256" spans="1:4" x14ac:dyDescent="0.15">
      <c r="A256" t="s">
        <v>10</v>
      </c>
      <c r="B256" s="6">
        <v>43523</v>
      </c>
      <c r="C256" t="s">
        <v>11</v>
      </c>
      <c r="D256">
        <v>0.3</v>
      </c>
    </row>
    <row r="257" spans="1:4" x14ac:dyDescent="0.15">
      <c r="A257" t="s">
        <v>10</v>
      </c>
      <c r="B257" s="6">
        <v>43523</v>
      </c>
      <c r="C257" t="s">
        <v>12</v>
      </c>
      <c r="D257">
        <v>7.2</v>
      </c>
    </row>
    <row r="258" spans="1:4" x14ac:dyDescent="0.15">
      <c r="A258" t="s">
        <v>10</v>
      </c>
      <c r="B258" s="6">
        <v>43524</v>
      </c>
      <c r="C258" t="s">
        <v>11</v>
      </c>
      <c r="D258">
        <v>3</v>
      </c>
    </row>
    <row r="259" spans="1:4" x14ac:dyDescent="0.15">
      <c r="A259" t="s">
        <v>10</v>
      </c>
      <c r="B259" s="6">
        <v>43524</v>
      </c>
      <c r="C259" t="s">
        <v>12</v>
      </c>
      <c r="D259">
        <v>4.5</v>
      </c>
    </row>
    <row r="260" spans="1:4" x14ac:dyDescent="0.15">
      <c r="A260" t="s">
        <v>1</v>
      </c>
      <c r="B260" s="6">
        <v>43525</v>
      </c>
      <c r="C260" t="s">
        <v>3</v>
      </c>
      <c r="D260">
        <v>3</v>
      </c>
    </row>
    <row r="261" spans="1:4" x14ac:dyDescent="0.15">
      <c r="A261" t="s">
        <v>1</v>
      </c>
      <c r="B261" s="6">
        <v>43525</v>
      </c>
      <c r="C261" t="s">
        <v>5</v>
      </c>
      <c r="D261">
        <v>4.5</v>
      </c>
    </row>
    <row r="262" spans="1:4" x14ac:dyDescent="0.15">
      <c r="A262" t="s">
        <v>1</v>
      </c>
      <c r="B262" s="6">
        <v>43528</v>
      </c>
      <c r="C262" t="s">
        <v>3</v>
      </c>
      <c r="D262">
        <v>6</v>
      </c>
    </row>
    <row r="263" spans="1:4" x14ac:dyDescent="0.15">
      <c r="A263" t="s">
        <v>1</v>
      </c>
      <c r="B263" s="6">
        <v>43528</v>
      </c>
      <c r="C263" t="s">
        <v>5</v>
      </c>
      <c r="D263">
        <v>1.5</v>
      </c>
    </row>
    <row r="264" spans="1:4" x14ac:dyDescent="0.15">
      <c r="A264" t="s">
        <v>1</v>
      </c>
      <c r="B264" s="6">
        <v>43529</v>
      </c>
      <c r="C264" t="s">
        <v>3</v>
      </c>
      <c r="D264">
        <v>6</v>
      </c>
    </row>
    <row r="265" spans="1:4" x14ac:dyDescent="0.15">
      <c r="A265" t="s">
        <v>1</v>
      </c>
      <c r="B265" s="6">
        <v>43529</v>
      </c>
      <c r="C265" t="s">
        <v>5</v>
      </c>
      <c r="D265">
        <v>3.5</v>
      </c>
    </row>
    <row r="266" spans="1:4" x14ac:dyDescent="0.15">
      <c r="A266" t="s">
        <v>1</v>
      </c>
      <c r="B266" s="6">
        <v>43530</v>
      </c>
      <c r="C266" t="s">
        <v>3</v>
      </c>
      <c r="D266">
        <v>5</v>
      </c>
    </row>
    <row r="267" spans="1:4" x14ac:dyDescent="0.15">
      <c r="A267" t="s">
        <v>1</v>
      </c>
      <c r="B267" s="6">
        <v>43530</v>
      </c>
      <c r="C267" t="s">
        <v>5</v>
      </c>
      <c r="D267">
        <v>2.5</v>
      </c>
    </row>
    <row r="268" spans="1:4" x14ac:dyDescent="0.15">
      <c r="A268" t="s">
        <v>1</v>
      </c>
      <c r="B268" s="6">
        <v>43531</v>
      </c>
      <c r="C268" t="s">
        <v>3</v>
      </c>
      <c r="D268">
        <v>0</v>
      </c>
    </row>
    <row r="269" spans="1:4" x14ac:dyDescent="0.15">
      <c r="A269" t="s">
        <v>1</v>
      </c>
      <c r="B269" s="6">
        <v>43531</v>
      </c>
      <c r="C269" t="s">
        <v>5</v>
      </c>
      <c r="D269">
        <v>0</v>
      </c>
    </row>
    <row r="270" spans="1:4" x14ac:dyDescent="0.15">
      <c r="A270" t="s">
        <v>1</v>
      </c>
      <c r="B270" s="6">
        <v>43532</v>
      </c>
      <c r="C270" t="s">
        <v>3</v>
      </c>
      <c r="D270">
        <v>7</v>
      </c>
    </row>
    <row r="271" spans="1:4" x14ac:dyDescent="0.15">
      <c r="A271" t="s">
        <v>1</v>
      </c>
      <c r="B271" s="6">
        <v>43532</v>
      </c>
      <c r="C271" t="s">
        <v>5</v>
      </c>
      <c r="D271">
        <f>9.5-D270</f>
        <v>2.5</v>
      </c>
    </row>
    <row r="272" spans="1:4" x14ac:dyDescent="0.15">
      <c r="A272" t="s">
        <v>1</v>
      </c>
      <c r="B272" s="6">
        <v>43535</v>
      </c>
      <c r="C272" t="s">
        <v>3</v>
      </c>
      <c r="D272">
        <v>5.5</v>
      </c>
    </row>
    <row r="273" spans="1:4" x14ac:dyDescent="0.15">
      <c r="A273" t="s">
        <v>1</v>
      </c>
      <c r="B273" s="6">
        <v>43535</v>
      </c>
      <c r="C273" t="s">
        <v>5</v>
      </c>
      <c r="D273">
        <f>8-D272</f>
        <v>2.5</v>
      </c>
    </row>
    <row r="274" spans="1:4" x14ac:dyDescent="0.15">
      <c r="A274" t="s">
        <v>1</v>
      </c>
      <c r="B274" s="6">
        <v>43536</v>
      </c>
      <c r="C274" t="s">
        <v>3</v>
      </c>
      <c r="D274">
        <v>5.25</v>
      </c>
    </row>
    <row r="275" spans="1:4" x14ac:dyDescent="0.15">
      <c r="A275" t="s">
        <v>1</v>
      </c>
      <c r="B275" s="6">
        <v>43536</v>
      </c>
      <c r="C275" t="s">
        <v>5</v>
      </c>
      <c r="D275">
        <v>2.75</v>
      </c>
    </row>
    <row r="276" spans="1:4" x14ac:dyDescent="0.15">
      <c r="A276" t="s">
        <v>1</v>
      </c>
      <c r="B276" s="6">
        <v>43537</v>
      </c>
      <c r="C276" t="s">
        <v>3</v>
      </c>
      <c r="D276">
        <v>3.5</v>
      </c>
    </row>
    <row r="277" spans="1:4" x14ac:dyDescent="0.15">
      <c r="A277" t="s">
        <v>1</v>
      </c>
      <c r="B277" s="6">
        <v>43537</v>
      </c>
      <c r="C277" t="s">
        <v>5</v>
      </c>
      <c r="D277">
        <f>5-D276</f>
        <v>1.5</v>
      </c>
    </row>
    <row r="278" spans="1:4" x14ac:dyDescent="0.15">
      <c r="A278" t="s">
        <v>1</v>
      </c>
      <c r="B278" s="6">
        <v>43538</v>
      </c>
      <c r="C278" t="s">
        <v>3</v>
      </c>
    </row>
    <row r="279" spans="1:4" x14ac:dyDescent="0.15">
      <c r="A279" t="s">
        <v>1</v>
      </c>
      <c r="B279" s="6">
        <v>43538</v>
      </c>
      <c r="C279" t="s">
        <v>5</v>
      </c>
    </row>
    <row r="280" spans="1:4" x14ac:dyDescent="0.15">
      <c r="A280" t="s">
        <v>1</v>
      </c>
      <c r="B280" s="6">
        <v>43539</v>
      </c>
      <c r="C280" t="s">
        <v>3</v>
      </c>
    </row>
    <row r="281" spans="1:4" x14ac:dyDescent="0.15">
      <c r="A281" t="s">
        <v>1</v>
      </c>
      <c r="B281" s="6">
        <v>43539</v>
      </c>
      <c r="C281" t="s">
        <v>5</v>
      </c>
    </row>
    <row r="282" spans="1:4" x14ac:dyDescent="0.15">
      <c r="A282" t="s">
        <v>1</v>
      </c>
      <c r="B282" s="6">
        <v>43542</v>
      </c>
      <c r="C282" t="s">
        <v>3</v>
      </c>
      <c r="D282">
        <v>6</v>
      </c>
    </row>
    <row r="283" spans="1:4" x14ac:dyDescent="0.15">
      <c r="A283" t="s">
        <v>1</v>
      </c>
      <c r="B283" s="6">
        <v>43542</v>
      </c>
      <c r="C283" t="s">
        <v>5</v>
      </c>
      <c r="D283">
        <v>2.5</v>
      </c>
    </row>
    <row r="284" spans="1:4" x14ac:dyDescent="0.15">
      <c r="A284" t="s">
        <v>1</v>
      </c>
      <c r="B284" s="6">
        <v>43543</v>
      </c>
      <c r="C284" t="s">
        <v>3</v>
      </c>
      <c r="D284">
        <v>5</v>
      </c>
    </row>
    <row r="285" spans="1:4" x14ac:dyDescent="0.15">
      <c r="A285" t="s">
        <v>1</v>
      </c>
      <c r="B285" s="6">
        <v>43543</v>
      </c>
      <c r="C285" t="s">
        <v>5</v>
      </c>
      <c r="D285">
        <v>1</v>
      </c>
    </row>
    <row r="286" spans="1:4" x14ac:dyDescent="0.15">
      <c r="A286" t="s">
        <v>1</v>
      </c>
      <c r="B286" s="6">
        <v>43544</v>
      </c>
      <c r="C286" t="s">
        <v>3</v>
      </c>
      <c r="D286">
        <v>7.5</v>
      </c>
    </row>
    <row r="287" spans="1:4" x14ac:dyDescent="0.15">
      <c r="A287" t="s">
        <v>1</v>
      </c>
      <c r="B287" s="6">
        <v>43544</v>
      </c>
      <c r="C287" t="s">
        <v>5</v>
      </c>
      <c r="D287">
        <v>2.5</v>
      </c>
    </row>
    <row r="288" spans="1:4" x14ac:dyDescent="0.15">
      <c r="A288" t="s">
        <v>1</v>
      </c>
      <c r="B288" s="6">
        <v>43545</v>
      </c>
      <c r="C288" t="s">
        <v>3</v>
      </c>
      <c r="D288">
        <v>7</v>
      </c>
    </row>
    <row r="289" spans="1:4" x14ac:dyDescent="0.15">
      <c r="A289" t="s">
        <v>1</v>
      </c>
      <c r="B289" s="6">
        <v>43545</v>
      </c>
      <c r="C289" t="s">
        <v>5</v>
      </c>
      <c r="D289">
        <v>0.5</v>
      </c>
    </row>
    <row r="290" spans="1:4" x14ac:dyDescent="0.15">
      <c r="A290" t="s">
        <v>1</v>
      </c>
      <c r="B290" s="6">
        <f t="shared" ref="B290:B329" si="3">WORKDAY(B288,1)</f>
        <v>43546</v>
      </c>
      <c r="C290" t="s">
        <v>3</v>
      </c>
      <c r="D290">
        <v>5</v>
      </c>
    </row>
    <row r="291" spans="1:4" x14ac:dyDescent="0.15">
      <c r="A291" t="s">
        <v>1</v>
      </c>
      <c r="B291" s="6">
        <f t="shared" si="3"/>
        <v>43546</v>
      </c>
      <c r="C291" t="s">
        <v>5</v>
      </c>
      <c r="D291">
        <v>4.5</v>
      </c>
    </row>
    <row r="292" spans="1:4" x14ac:dyDescent="0.15">
      <c r="A292" t="s">
        <v>1</v>
      </c>
      <c r="B292" s="6">
        <f t="shared" si="3"/>
        <v>43549</v>
      </c>
      <c r="C292" t="s">
        <v>3</v>
      </c>
      <c r="D292">
        <v>5.75</v>
      </c>
    </row>
    <row r="293" spans="1:4" x14ac:dyDescent="0.15">
      <c r="A293" t="s">
        <v>1</v>
      </c>
      <c r="B293" s="6">
        <f t="shared" si="3"/>
        <v>43549</v>
      </c>
      <c r="C293" t="s">
        <v>5</v>
      </c>
      <c r="D293">
        <v>2.75</v>
      </c>
    </row>
    <row r="294" spans="1:4" x14ac:dyDescent="0.15">
      <c r="A294" t="s">
        <v>1</v>
      </c>
      <c r="B294" s="6">
        <f t="shared" si="3"/>
        <v>43550</v>
      </c>
      <c r="C294" t="s">
        <v>3</v>
      </c>
      <c r="D294">
        <v>2</v>
      </c>
    </row>
    <row r="295" spans="1:4" x14ac:dyDescent="0.15">
      <c r="A295" t="s">
        <v>1</v>
      </c>
      <c r="B295" s="6">
        <f t="shared" si="3"/>
        <v>43550</v>
      </c>
      <c r="C295" t="s">
        <v>5</v>
      </c>
      <c r="D295">
        <v>2</v>
      </c>
    </row>
    <row r="296" spans="1:4" x14ac:dyDescent="0.15">
      <c r="A296" t="s">
        <v>1</v>
      </c>
      <c r="B296" s="6">
        <f t="shared" si="3"/>
        <v>43551</v>
      </c>
      <c r="C296" t="s">
        <v>3</v>
      </c>
      <c r="D296">
        <v>3.5</v>
      </c>
    </row>
    <row r="297" spans="1:4" x14ac:dyDescent="0.15">
      <c r="A297" t="s">
        <v>1</v>
      </c>
      <c r="B297" s="6">
        <f t="shared" si="3"/>
        <v>43551</v>
      </c>
      <c r="C297" t="s">
        <v>5</v>
      </c>
      <c r="D297">
        <v>3</v>
      </c>
    </row>
    <row r="298" spans="1:4" x14ac:dyDescent="0.15">
      <c r="A298" t="s">
        <v>1</v>
      </c>
      <c r="B298" s="6">
        <f t="shared" si="3"/>
        <v>43552</v>
      </c>
      <c r="C298" t="s">
        <v>3</v>
      </c>
      <c r="D298">
        <v>7.15</v>
      </c>
    </row>
    <row r="299" spans="1:4" x14ac:dyDescent="0.15">
      <c r="A299" t="s">
        <v>1</v>
      </c>
      <c r="B299" s="6">
        <f t="shared" si="3"/>
        <v>43552</v>
      </c>
      <c r="C299" t="s">
        <v>5</v>
      </c>
      <c r="D299">
        <v>2.75</v>
      </c>
    </row>
    <row r="300" spans="1:4" x14ac:dyDescent="0.15">
      <c r="A300" t="s">
        <v>1</v>
      </c>
      <c r="B300" s="6">
        <f t="shared" si="3"/>
        <v>43553</v>
      </c>
      <c r="C300" t="s">
        <v>3</v>
      </c>
      <c r="D300">
        <v>4.5</v>
      </c>
    </row>
    <row r="301" spans="1:4" x14ac:dyDescent="0.15">
      <c r="A301" t="s">
        <v>1</v>
      </c>
      <c r="B301" s="6">
        <f t="shared" si="3"/>
        <v>43553</v>
      </c>
      <c r="C301" t="s">
        <v>5</v>
      </c>
      <c r="D301">
        <v>3</v>
      </c>
    </row>
    <row r="302" spans="1:4" x14ac:dyDescent="0.15">
      <c r="A302" t="s">
        <v>1</v>
      </c>
      <c r="B302" s="6">
        <f t="shared" si="3"/>
        <v>43556</v>
      </c>
      <c r="C302" t="s">
        <v>3</v>
      </c>
      <c r="D302">
        <v>5.5</v>
      </c>
    </row>
    <row r="303" spans="1:4" x14ac:dyDescent="0.15">
      <c r="A303" t="s">
        <v>1</v>
      </c>
      <c r="B303" s="6">
        <f t="shared" si="3"/>
        <v>43556</v>
      </c>
      <c r="C303" t="s">
        <v>5</v>
      </c>
      <c r="D303">
        <v>2.5</v>
      </c>
    </row>
    <row r="304" spans="1:4" x14ac:dyDescent="0.15">
      <c r="A304" t="s">
        <v>1</v>
      </c>
      <c r="B304" s="6">
        <f t="shared" si="3"/>
        <v>43557</v>
      </c>
      <c r="C304" t="s">
        <v>3</v>
      </c>
      <c r="D304">
        <v>5.25</v>
      </c>
    </row>
    <row r="305" spans="1:4" x14ac:dyDescent="0.15">
      <c r="A305" t="s">
        <v>1</v>
      </c>
      <c r="B305" s="6">
        <f t="shared" si="3"/>
        <v>43557</v>
      </c>
      <c r="C305" t="s">
        <v>5</v>
      </c>
      <c r="D305">
        <v>2.25</v>
      </c>
    </row>
    <row r="306" spans="1:4" x14ac:dyDescent="0.15">
      <c r="A306" t="s">
        <v>1</v>
      </c>
      <c r="B306" s="6">
        <f t="shared" si="3"/>
        <v>43558</v>
      </c>
      <c r="C306" t="s">
        <v>3</v>
      </c>
      <c r="D306">
        <v>8.75</v>
      </c>
    </row>
    <row r="307" spans="1:4" x14ac:dyDescent="0.15">
      <c r="A307" t="s">
        <v>1</v>
      </c>
      <c r="B307" s="6">
        <f t="shared" si="3"/>
        <v>43558</v>
      </c>
      <c r="C307" t="s">
        <v>5</v>
      </c>
      <c r="D307">
        <v>0.75</v>
      </c>
    </row>
    <row r="308" spans="1:4" x14ac:dyDescent="0.15">
      <c r="A308" t="s">
        <v>1</v>
      </c>
      <c r="B308" s="6">
        <f t="shared" si="3"/>
        <v>43559</v>
      </c>
      <c r="C308" t="s">
        <v>3</v>
      </c>
      <c r="D308">
        <v>7.25</v>
      </c>
    </row>
    <row r="309" spans="1:4" x14ac:dyDescent="0.15">
      <c r="A309" t="s">
        <v>1</v>
      </c>
      <c r="B309" s="6">
        <f t="shared" si="3"/>
        <v>43559</v>
      </c>
      <c r="C309" t="s">
        <v>5</v>
      </c>
      <c r="D309">
        <v>3.5</v>
      </c>
    </row>
    <row r="310" spans="1:4" x14ac:dyDescent="0.15">
      <c r="A310" t="s">
        <v>1</v>
      </c>
      <c r="B310" s="6">
        <f t="shared" si="3"/>
        <v>43560</v>
      </c>
      <c r="C310" t="s">
        <v>3</v>
      </c>
      <c r="D310">
        <v>6</v>
      </c>
    </row>
    <row r="311" spans="1:4" x14ac:dyDescent="0.15">
      <c r="A311" t="s">
        <v>1</v>
      </c>
      <c r="B311" s="6">
        <f t="shared" si="3"/>
        <v>43560</v>
      </c>
      <c r="C311" t="s">
        <v>5</v>
      </c>
      <c r="D311">
        <v>2</v>
      </c>
    </row>
    <row r="312" spans="1:4" x14ac:dyDescent="0.15">
      <c r="A312" t="s">
        <v>1</v>
      </c>
      <c r="B312" s="6">
        <f t="shared" si="3"/>
        <v>43563</v>
      </c>
      <c r="C312" t="s">
        <v>3</v>
      </c>
      <c r="D312">
        <v>5.5</v>
      </c>
    </row>
    <row r="313" spans="1:4" x14ac:dyDescent="0.15">
      <c r="A313" t="s">
        <v>1</v>
      </c>
      <c r="B313" s="6">
        <f t="shared" si="3"/>
        <v>43563</v>
      </c>
      <c r="C313" t="s">
        <v>5</v>
      </c>
      <c r="D313">
        <v>0.5</v>
      </c>
    </row>
    <row r="314" spans="1:4" x14ac:dyDescent="0.15">
      <c r="A314" t="s">
        <v>1</v>
      </c>
      <c r="B314" s="6">
        <f t="shared" si="3"/>
        <v>43564</v>
      </c>
      <c r="C314" t="s">
        <v>3</v>
      </c>
    </row>
    <row r="315" spans="1:4" x14ac:dyDescent="0.15">
      <c r="A315" t="s">
        <v>1</v>
      </c>
      <c r="B315" s="6">
        <f t="shared" si="3"/>
        <v>43564</v>
      </c>
      <c r="C315" t="s">
        <v>5</v>
      </c>
    </row>
    <row r="316" spans="1:4" x14ac:dyDescent="0.15">
      <c r="A316" t="s">
        <v>1</v>
      </c>
      <c r="B316" s="6">
        <f t="shared" si="3"/>
        <v>43565</v>
      </c>
      <c r="C316" t="s">
        <v>3</v>
      </c>
      <c r="D316">
        <v>5.25</v>
      </c>
    </row>
    <row r="317" spans="1:4" x14ac:dyDescent="0.15">
      <c r="A317" t="s">
        <v>1</v>
      </c>
      <c r="B317" s="6">
        <f t="shared" si="3"/>
        <v>43565</v>
      </c>
      <c r="C317" t="s">
        <v>5</v>
      </c>
      <c r="D317">
        <v>4.25</v>
      </c>
    </row>
    <row r="318" spans="1:4" x14ac:dyDescent="0.15">
      <c r="A318" t="s">
        <v>1</v>
      </c>
      <c r="B318" s="6">
        <f t="shared" si="3"/>
        <v>43566</v>
      </c>
      <c r="C318" t="s">
        <v>3</v>
      </c>
      <c r="D318">
        <v>6.75</v>
      </c>
    </row>
    <row r="319" spans="1:4" x14ac:dyDescent="0.15">
      <c r="A319" t="s">
        <v>1</v>
      </c>
      <c r="B319" s="6">
        <f t="shared" si="3"/>
        <v>43566</v>
      </c>
      <c r="C319" t="s">
        <v>5</v>
      </c>
      <c r="D319">
        <v>0.75</v>
      </c>
    </row>
    <row r="320" spans="1:4" x14ac:dyDescent="0.15">
      <c r="A320" t="s">
        <v>1</v>
      </c>
      <c r="B320" s="6">
        <f t="shared" si="3"/>
        <v>43567</v>
      </c>
      <c r="C320" t="s">
        <v>3</v>
      </c>
      <c r="D320">
        <v>4.5</v>
      </c>
    </row>
    <row r="321" spans="1:4" x14ac:dyDescent="0.15">
      <c r="A321" t="s">
        <v>1</v>
      </c>
      <c r="B321" s="6">
        <f t="shared" si="3"/>
        <v>43567</v>
      </c>
      <c r="C321" t="s">
        <v>5</v>
      </c>
      <c r="D321">
        <v>3</v>
      </c>
    </row>
    <row r="322" spans="1:4" x14ac:dyDescent="0.15">
      <c r="A322" t="s">
        <v>1</v>
      </c>
      <c r="B322" s="6">
        <f t="shared" si="3"/>
        <v>43570</v>
      </c>
      <c r="C322" t="s">
        <v>3</v>
      </c>
      <c r="D322">
        <v>5.5</v>
      </c>
    </row>
    <row r="323" spans="1:4" x14ac:dyDescent="0.15">
      <c r="A323" t="s">
        <v>1</v>
      </c>
      <c r="B323" s="6">
        <f t="shared" si="3"/>
        <v>43570</v>
      </c>
      <c r="C323" t="s">
        <v>5</v>
      </c>
      <c r="D323">
        <v>0.5</v>
      </c>
    </row>
    <row r="324" spans="1:4" x14ac:dyDescent="0.15">
      <c r="A324" t="s">
        <v>1</v>
      </c>
      <c r="B324" s="6">
        <f t="shared" si="3"/>
        <v>43571</v>
      </c>
      <c r="C324" t="s">
        <v>3</v>
      </c>
      <c r="D324">
        <v>7</v>
      </c>
    </row>
    <row r="325" spans="1:4" x14ac:dyDescent="0.15">
      <c r="A325" t="s">
        <v>1</v>
      </c>
      <c r="B325" s="6">
        <f t="shared" si="3"/>
        <v>43571</v>
      </c>
      <c r="C325" t="s">
        <v>5</v>
      </c>
      <c r="D325">
        <v>0.5</v>
      </c>
    </row>
    <row r="326" spans="1:4" x14ac:dyDescent="0.15">
      <c r="A326" t="s">
        <v>1</v>
      </c>
      <c r="B326" s="6">
        <f t="shared" si="3"/>
        <v>43572</v>
      </c>
      <c r="C326" t="s">
        <v>3</v>
      </c>
    </row>
    <row r="327" spans="1:4" x14ac:dyDescent="0.15">
      <c r="A327" t="s">
        <v>1</v>
      </c>
      <c r="B327" s="6">
        <f t="shared" si="3"/>
        <v>43572</v>
      </c>
      <c r="C327" t="s">
        <v>5</v>
      </c>
    </row>
    <row r="328" spans="1:4" x14ac:dyDescent="0.15">
      <c r="A328" t="s">
        <v>1</v>
      </c>
      <c r="B328" s="6">
        <f t="shared" si="3"/>
        <v>43573</v>
      </c>
      <c r="C328" t="s">
        <v>3</v>
      </c>
    </row>
    <row r="329" spans="1:4" x14ac:dyDescent="0.15">
      <c r="A329" t="s">
        <v>1</v>
      </c>
      <c r="B329" s="6">
        <f t="shared" si="3"/>
        <v>43573</v>
      </c>
      <c r="C329" t="s">
        <v>5</v>
      </c>
    </row>
    <row r="330" spans="1:4" x14ac:dyDescent="0.15">
      <c r="A330" t="s">
        <v>39</v>
      </c>
      <c r="B330" s="6">
        <v>43595</v>
      </c>
      <c r="C330" t="s">
        <v>40</v>
      </c>
      <c r="D330">
        <v>4.75</v>
      </c>
    </row>
    <row r="331" spans="1:4" x14ac:dyDescent="0.15">
      <c r="A331" t="s">
        <v>41</v>
      </c>
      <c r="B331" s="6">
        <v>43595</v>
      </c>
      <c r="C331" t="s">
        <v>42</v>
      </c>
      <c r="D331">
        <v>0.25</v>
      </c>
    </row>
    <row r="332" spans="1:4" x14ac:dyDescent="0.15">
      <c r="A332" t="s">
        <v>39</v>
      </c>
      <c r="B332" s="6">
        <v>43598</v>
      </c>
      <c r="C332" t="s">
        <v>40</v>
      </c>
      <c r="D332">
        <v>7</v>
      </c>
    </row>
    <row r="333" spans="1:4" x14ac:dyDescent="0.15">
      <c r="A333" t="s">
        <v>41</v>
      </c>
      <c r="B333" s="6">
        <v>43598</v>
      </c>
      <c r="C333" t="s">
        <v>42</v>
      </c>
      <c r="D333">
        <v>1.5</v>
      </c>
    </row>
    <row r="334" spans="1:4" x14ac:dyDescent="0.15">
      <c r="A334" t="s">
        <v>49</v>
      </c>
      <c r="B334" s="6">
        <v>43600</v>
      </c>
      <c r="C334" t="s">
        <v>62</v>
      </c>
      <c r="D334">
        <v>2</v>
      </c>
    </row>
    <row r="335" spans="1:4" x14ac:dyDescent="0.15">
      <c r="A335" t="s">
        <v>63</v>
      </c>
      <c r="B335" s="6">
        <v>43600</v>
      </c>
      <c r="C335" t="s">
        <v>64</v>
      </c>
      <c r="D335">
        <v>3.25</v>
      </c>
    </row>
    <row r="336" spans="1:4" x14ac:dyDescent="0.15">
      <c r="A336" t="s">
        <v>54</v>
      </c>
      <c r="B336" s="6">
        <v>43600</v>
      </c>
      <c r="C336" t="s">
        <v>55</v>
      </c>
      <c r="D336">
        <v>4.75</v>
      </c>
    </row>
    <row r="337" spans="1:4" x14ac:dyDescent="0.15">
      <c r="A337" t="s">
        <v>56</v>
      </c>
      <c r="B337" s="6">
        <v>43600</v>
      </c>
      <c r="C337" t="s">
        <v>57</v>
      </c>
      <c r="D337">
        <v>1.25</v>
      </c>
    </row>
    <row r="338" spans="1:4" x14ac:dyDescent="0.15">
      <c r="A338" t="s">
        <v>58</v>
      </c>
      <c r="B338" s="6">
        <v>43600</v>
      </c>
      <c r="C338" t="s">
        <v>59</v>
      </c>
      <c r="D338">
        <v>5.75</v>
      </c>
    </row>
    <row r="339" spans="1:4" x14ac:dyDescent="0.15">
      <c r="A339" t="s">
        <v>60</v>
      </c>
      <c r="B339" s="6">
        <v>43600</v>
      </c>
      <c r="C339" t="s">
        <v>61</v>
      </c>
      <c r="D339">
        <v>0.5</v>
      </c>
    </row>
    <row r="340" spans="1:4" x14ac:dyDescent="0.15">
      <c r="A340" t="s">
        <v>0</v>
      </c>
      <c r="B340" s="6">
        <v>43600</v>
      </c>
      <c r="C340" t="s">
        <v>2</v>
      </c>
      <c r="D340">
        <v>4.25</v>
      </c>
    </row>
    <row r="341" spans="1:4" x14ac:dyDescent="0.15">
      <c r="A341" t="s">
        <v>0</v>
      </c>
      <c r="B341" s="6">
        <v>43600</v>
      </c>
      <c r="C341" t="s">
        <v>4</v>
      </c>
      <c r="D341">
        <v>1.25</v>
      </c>
    </row>
    <row r="342" spans="1:4" x14ac:dyDescent="0.15">
      <c r="A342" t="s">
        <v>47</v>
      </c>
      <c r="B342" s="6">
        <v>43601</v>
      </c>
      <c r="C342" t="s">
        <v>2</v>
      </c>
      <c r="D342">
        <v>6.5</v>
      </c>
    </row>
    <row r="343" spans="1:4" x14ac:dyDescent="0.15">
      <c r="A343" t="s">
        <v>47</v>
      </c>
      <c r="B343" s="6">
        <v>43601</v>
      </c>
      <c r="C343" t="s">
        <v>4</v>
      </c>
      <c r="D343">
        <v>1</v>
      </c>
    </row>
    <row r="344" spans="1:4" x14ac:dyDescent="0.15">
      <c r="A344" t="s">
        <v>6</v>
      </c>
      <c r="B344" s="6">
        <v>43601</v>
      </c>
      <c r="C344" t="s">
        <v>2</v>
      </c>
      <c r="D344">
        <v>6.25</v>
      </c>
    </row>
    <row r="345" spans="1:4" x14ac:dyDescent="0.15">
      <c r="A345" t="s">
        <v>6</v>
      </c>
      <c r="B345" s="6">
        <v>43601</v>
      </c>
      <c r="C345" t="s">
        <v>4</v>
      </c>
      <c r="D345">
        <v>1.25</v>
      </c>
    </row>
    <row r="346" spans="1:4" x14ac:dyDescent="0.15">
      <c r="A346" t="s">
        <v>0</v>
      </c>
      <c r="B346" s="6">
        <v>43601</v>
      </c>
      <c r="C346" t="s">
        <v>2</v>
      </c>
      <c r="D346">
        <v>7</v>
      </c>
    </row>
    <row r="347" spans="1:4" x14ac:dyDescent="0.15">
      <c r="A347" t="s">
        <v>0</v>
      </c>
      <c r="B347" s="6">
        <v>43601</v>
      </c>
      <c r="C347" t="s">
        <v>4</v>
      </c>
      <c r="D347">
        <v>0.25</v>
      </c>
    </row>
    <row r="348" spans="1:4" x14ac:dyDescent="0.15">
      <c r="A348" t="s">
        <v>65</v>
      </c>
      <c r="B348" s="6">
        <v>43601</v>
      </c>
      <c r="C348" t="s">
        <v>66</v>
      </c>
      <c r="D348">
        <v>4</v>
      </c>
    </row>
    <row r="349" spans="1:4" x14ac:dyDescent="0.15">
      <c r="A349" t="s">
        <v>67</v>
      </c>
      <c r="B349" s="6">
        <v>43601</v>
      </c>
      <c r="C349" t="s">
        <v>68</v>
      </c>
      <c r="D349">
        <v>1</v>
      </c>
    </row>
  </sheetData>
  <sortState ref="A2:D333">
    <sortCondition ref="A2"/>
  </sortState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Button1_Click">
                <anchor moveWithCells="1">
                  <from>
                    <xdr:col>6</xdr:col>
                    <xdr:colOff>914400</xdr:colOff>
                    <xdr:row>6</xdr:row>
                    <xdr:rowOff>161925</xdr:rowOff>
                  </from>
                  <to>
                    <xdr:col>6</xdr:col>
                    <xdr:colOff>1504950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Button2_Click">
                <anchor moveWithCells="1">
                  <from>
                    <xdr:col>6</xdr:col>
                    <xdr:colOff>1819275</xdr:colOff>
                    <xdr:row>6</xdr:row>
                    <xdr:rowOff>152400</xdr:rowOff>
                  </from>
                  <to>
                    <xdr:col>6</xdr:col>
                    <xdr:colOff>2409825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Button6_Click">
                <anchor moveWithCells="1">
                  <from>
                    <xdr:col>6</xdr:col>
                    <xdr:colOff>47625</xdr:colOff>
                    <xdr:row>6</xdr:row>
                    <xdr:rowOff>152400</xdr:rowOff>
                  </from>
                  <to>
                    <xdr:col>6</xdr:col>
                    <xdr:colOff>638175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3"/>
  <sheetViews>
    <sheetView workbookViewId="0">
      <selection activeCell="A3" sqref="A3"/>
    </sheetView>
  </sheetViews>
  <sheetFormatPr defaultRowHeight="13.5" x14ac:dyDescent="0.15"/>
  <sheetData>
    <row r="1" spans="1:1" x14ac:dyDescent="0.15">
      <c r="A1" t="s">
        <v>25</v>
      </c>
    </row>
    <row r="2" spans="1:1" x14ac:dyDescent="0.15">
      <c r="A2" t="s">
        <v>24</v>
      </c>
    </row>
    <row r="3" spans="1:1" x14ac:dyDescent="0.15">
      <c r="A3" t="s">
        <v>29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"/>
  <sheetViews>
    <sheetView workbookViewId="0">
      <selection activeCell="E8" sqref="E8"/>
    </sheetView>
  </sheetViews>
  <sheetFormatPr defaultRowHeight="13.5" x14ac:dyDescent="0.15"/>
  <cols>
    <col min="3" max="3" width="9.5" bestFit="1" customWidth="1"/>
  </cols>
  <sheetData>
    <row r="1" spans="1:5" x14ac:dyDescent="0.15">
      <c r="A1" t="s">
        <v>26</v>
      </c>
      <c r="B1" t="s">
        <v>27</v>
      </c>
      <c r="C1" t="s">
        <v>16</v>
      </c>
      <c r="D1" t="s">
        <v>28</v>
      </c>
      <c r="E1" t="s">
        <v>17</v>
      </c>
    </row>
    <row r="2" spans="1:5" x14ac:dyDescent="0.15">
      <c r="A2" t="s">
        <v>1</v>
      </c>
      <c r="B2" t="s">
        <v>29</v>
      </c>
      <c r="C2" s="5">
        <v>43532</v>
      </c>
      <c r="D2">
        <v>6</v>
      </c>
      <c r="E2" t="str">
        <f>IF(ISERROR(MATCH(B2,'anken-list'!A:A,0)),"Non-anken","Anken")</f>
        <v>Anken</v>
      </c>
    </row>
    <row r="3" spans="1:5" x14ac:dyDescent="0.15">
      <c r="A3" t="s">
        <v>1</v>
      </c>
      <c r="B3" t="s">
        <v>30</v>
      </c>
      <c r="E3" t="str">
        <f>IF(ISERROR(MATCH(B3,'anken-list'!A:A,0)),"Non-anken","Anken")</f>
        <v>Non-anken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byweek</vt:lpstr>
      <vt:lpstr>chart</vt:lpstr>
      <vt:lpstr>bydate</vt:lpstr>
      <vt:lpstr>data</vt:lpstr>
      <vt:lpstr>anken-list</vt:lpstr>
      <vt:lpstr>data(new)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Ubicom_エイタン</dc:creator>
  <cp:lastModifiedBy>Jeremy Christian Reccion</cp:lastModifiedBy>
  <dcterms:created xsi:type="dcterms:W3CDTF">2019-03-01T05:54:08Z</dcterms:created>
  <dcterms:modified xsi:type="dcterms:W3CDTF">2019-05-24T00:50:51Z</dcterms:modified>
</cp:coreProperties>
</file>